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ropdowns" sheetId="1" state="hidden" r:id="rId1"/>
    <sheet name="Catalog" sheetId="2" state="visible" r:id="rId2"/>
    <sheet name="To Label" sheetId="3" state="visible" r:id="rId3"/>
    <sheet name="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6600"/>
      <sz val="11"/>
    </font>
    <font>
      <color rgb="00C00000"/>
    </font>
    <font>
      <b val="1"/>
      <sz val="16"/>
    </font>
    <font>
      <b val="1"/>
      <color rgb="000070C0"/>
      <sz val="12"/>
    </font>
    <font>
      <b val="1"/>
      <color rgb="000070C0"/>
    </font>
    <font>
      <b val="1"/>
      <color rgb="00C00000"/>
      <sz val="12"/>
    </font>
    <font>
      <b val="1"/>
      <color rgb="00C0000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C1" s="1" t="inlineStr">
        <is>
          <t>Work Subcategories</t>
        </is>
      </c>
      <c r="E1" s="1" t="inlineStr">
        <is>
          <t>Personal Subcategories</t>
        </is>
      </c>
    </row>
    <row r="2">
      <c r="A2" t="inlineStr">
        <is>
          <t>Work</t>
        </is>
      </c>
      <c r="C2" t="inlineStr">
        <is>
          <t>Client Payment</t>
        </is>
      </c>
      <c r="E2" t="inlineStr">
        <is>
          <t>Wallet Top-Up</t>
        </is>
      </c>
    </row>
    <row r="3">
      <c r="A3" t="inlineStr">
        <is>
          <t>Personal</t>
        </is>
      </c>
      <c r="C3" t="inlineStr">
        <is>
          <t>Retainer</t>
        </is>
      </c>
      <c r="E3" t="inlineStr">
        <is>
          <t>Refund</t>
        </is>
      </c>
    </row>
    <row r="4">
      <c r="C4" t="inlineStr">
        <is>
          <t>Reimbursement</t>
        </is>
      </c>
      <c r="E4" t="inlineStr">
        <is>
          <t>Owner Draw</t>
        </is>
      </c>
    </row>
    <row r="5">
      <c r="C5" t="inlineStr">
        <is>
          <t>Software</t>
        </is>
      </c>
      <c r="E5" t="inlineStr">
        <is>
          <t>Groceries</t>
        </is>
      </c>
    </row>
    <row r="6">
      <c r="C6" t="inlineStr">
        <is>
          <t>Contractors</t>
        </is>
      </c>
      <c r="E6" t="inlineStr">
        <is>
          <t>Restaurants</t>
        </is>
      </c>
    </row>
    <row r="7">
      <c r="C7" t="inlineStr">
        <is>
          <t>Office Supplies</t>
        </is>
      </c>
      <c r="E7" t="inlineStr">
        <is>
          <t>Shopping</t>
        </is>
      </c>
    </row>
    <row r="8">
      <c r="C8" t="inlineStr">
        <is>
          <t>Marketing</t>
        </is>
      </c>
    </row>
    <row r="9">
      <c r="C9" t="inlineStr">
        <is>
          <t>Gas</t>
        </is>
      </c>
    </row>
    <row r="10">
      <c r="C10" t="inlineStr">
        <is>
          <t>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2" t="inlineStr">
        <is>
          <t>Context</t>
        </is>
      </c>
      <c r="B1" s="2" t="inlineStr">
        <is>
          <t>Direction</t>
        </is>
      </c>
      <c r="C1" s="2" t="inlineStr">
        <is>
          <t>Subcategory</t>
        </is>
      </c>
    </row>
    <row r="2">
      <c r="A2" t="inlineStr">
        <is>
          <t>Work</t>
        </is>
      </c>
      <c r="B2" t="inlineStr">
        <is>
          <t>Inflow</t>
        </is>
      </c>
      <c r="C2" t="inlineStr">
        <is>
          <t>Client Payment</t>
        </is>
      </c>
    </row>
    <row r="3">
      <c r="A3" t="inlineStr">
        <is>
          <t>Work</t>
        </is>
      </c>
      <c r="B3" t="inlineStr">
        <is>
          <t>Inflow</t>
        </is>
      </c>
      <c r="C3" t="inlineStr">
        <is>
          <t>Retainer</t>
        </is>
      </c>
    </row>
    <row r="4">
      <c r="A4" t="inlineStr">
        <is>
          <t>Work</t>
        </is>
      </c>
      <c r="B4" t="inlineStr">
        <is>
          <t>Outflow</t>
        </is>
      </c>
      <c r="C4" t="inlineStr">
        <is>
          <t>Software</t>
        </is>
      </c>
    </row>
    <row r="5">
      <c r="A5" t="inlineStr">
        <is>
          <t>Work</t>
        </is>
      </c>
      <c r="B5" t="inlineStr">
        <is>
          <t>Outflow</t>
        </is>
      </c>
      <c r="C5" t="inlineStr">
        <is>
          <t>Contractors</t>
        </is>
      </c>
    </row>
    <row r="6">
      <c r="A6" t="inlineStr">
        <is>
          <t>Work</t>
        </is>
      </c>
      <c r="B6" t="inlineStr">
        <is>
          <t>Outflow</t>
        </is>
      </c>
      <c r="C6" t="inlineStr">
        <is>
          <t>Marketing</t>
        </is>
      </c>
    </row>
    <row r="7">
      <c r="A7" t="inlineStr">
        <is>
          <t>Work</t>
        </is>
      </c>
      <c r="B7" t="inlineStr">
        <is>
          <t>Outflow</t>
        </is>
      </c>
      <c r="C7" t="inlineStr">
        <is>
          <t>Gas</t>
        </is>
      </c>
    </row>
    <row r="8">
      <c r="A8" t="inlineStr">
        <is>
          <t>Personal</t>
        </is>
      </c>
      <c r="B8" t="inlineStr">
        <is>
          <t>Outflow</t>
        </is>
      </c>
      <c r="C8" t="inlineStr">
        <is>
          <t>Owner Draw</t>
        </is>
      </c>
    </row>
    <row r="9">
      <c r="A9" t="inlineStr">
        <is>
          <t>Personal</t>
        </is>
      </c>
      <c r="B9" t="inlineStr">
        <is>
          <t>Outflow</t>
        </is>
      </c>
      <c r="C9" t="inlineStr">
        <is>
          <t>Groceries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4" customWidth="1" min="4" max="4"/>
    <col width="20" customWidth="1" min="5" max="5"/>
    <col width="20" customWidth="1" min="6" max="6"/>
    <col width="32" customWidth="1" min="7" max="7"/>
  </cols>
  <sheetData>
    <row r="1">
      <c r="A1" s="3" t="inlineStr">
        <is>
          <t>Select Classification in D, then Work subcategory in E OR Personal subcategory in F</t>
        </is>
      </c>
    </row>
    <row r="2">
      <c r="A2" s="2" t="inlineStr">
        <is>
          <t>internal_id</t>
        </is>
      </c>
      <c r="B2" s="2" t="inlineStr">
        <is>
          <t>date</t>
        </is>
      </c>
      <c r="C2" s="2" t="inlineStr">
        <is>
          <t>category</t>
        </is>
      </c>
      <c r="D2" s="2" t="inlineStr">
        <is>
          <t>classification</t>
        </is>
      </c>
      <c r="E2" s="2" t="inlineStr">
        <is>
          <t>Work_Subcategory</t>
        </is>
      </c>
      <c r="F2" s="2" t="inlineStr">
        <is>
          <t>Personal_Subcategory</t>
        </is>
      </c>
      <c r="G2" s="2" t="inlineStr">
        <is>
          <t>description</t>
        </is>
      </c>
      <c r="H2" s="2" t="inlineStr">
        <is>
          <t>gross_amount</t>
        </is>
      </c>
      <c r="I2" s="2" t="inlineStr">
        <is>
          <t>mp_fee</t>
        </is>
      </c>
      <c r="J2" s="2" t="inlineStr">
        <is>
          <t>net_amount</t>
        </is>
      </c>
      <c r="K2" s="2" t="inlineStr">
        <is>
          <t>source</t>
        </is>
      </c>
    </row>
    <row r="3">
      <c r="A3" t="inlineStr">
        <is>
          <t>149893618327</t>
        </is>
      </c>
      <c r="B3" t="inlineStr">
        <is>
          <t>2026-03-16T14:37:45.000-04:00</t>
        </is>
      </c>
      <c r="C3" t="inlineStr">
        <is>
          <t>Purchase/Expense</t>
        </is>
      </c>
      <c r="D3" s="4" t="n"/>
      <c r="E3" s="5" t="n"/>
      <c r="F3" s="6" t="n"/>
      <c r="G3" t="inlineStr">
        <is>
          <t>Openrouter, inc</t>
        </is>
      </c>
      <c r="H3" s="7" t="n">
        <v>-193.56</v>
      </c>
      <c r="I3" s="8" t="n">
        <v>0</v>
      </c>
      <c r="J3" s="7" t="n">
        <v>-193.56</v>
      </c>
      <c r="K3" t="inlineStr">
        <is>
          <t>api</t>
        </is>
      </c>
    </row>
    <row r="4">
      <c r="A4" t="inlineStr">
        <is>
          <t>149873377937</t>
        </is>
      </c>
      <c r="B4" t="inlineStr">
        <is>
          <t>2026-03-16T11:59:58.000-04:00</t>
        </is>
      </c>
      <c r="C4" t="inlineStr">
        <is>
          <t>Purchase/Expense</t>
        </is>
      </c>
      <c r="D4" s="4" t="n"/>
      <c r="E4" s="5" t="n"/>
      <c r="F4" s="6" t="n"/>
      <c r="G4" t="inlineStr">
        <is>
          <t>Gas pescadero</t>
        </is>
      </c>
      <c r="H4" s="7" t="n">
        <v>-930.54</v>
      </c>
      <c r="I4" s="8" t="n">
        <v>0</v>
      </c>
      <c r="J4" s="7" t="n">
        <v>-930.54</v>
      </c>
      <c r="K4" t="inlineStr">
        <is>
          <t>api</t>
        </is>
      </c>
    </row>
    <row r="5">
      <c r="A5" t="inlineStr">
        <is>
          <t>150483998282</t>
        </is>
      </c>
      <c r="B5" t="inlineStr">
        <is>
          <t>2026-03-15T13:46:22.000-04:00</t>
        </is>
      </c>
      <c r="C5" t="inlineStr">
        <is>
          <t>Purchase/Expense</t>
        </is>
      </c>
      <c r="D5" s="4" t="n"/>
      <c r="E5" s="5" t="n"/>
      <c r="F5" s="6" t="n"/>
      <c r="G5" t="inlineStr">
        <is>
          <t>Mercadopago *felisalu</t>
        </is>
      </c>
      <c r="H5" s="7" t="n">
        <v>-270</v>
      </c>
      <c r="I5" s="8" t="n">
        <v>0</v>
      </c>
      <c r="J5" s="7" t="n">
        <v>-270</v>
      </c>
      <c r="K5" t="inlineStr">
        <is>
          <t>api</t>
        </is>
      </c>
    </row>
    <row r="6">
      <c r="A6" t="inlineStr">
        <is>
          <t>150406858982</t>
        </is>
      </c>
      <c r="B6" t="inlineStr">
        <is>
          <t>2026-03-14T19:49:50.000-04:00</t>
        </is>
      </c>
      <c r="C6" t="inlineStr">
        <is>
          <t>Purchase/Expense</t>
        </is>
      </c>
      <c r="D6" s="4" t="n"/>
      <c r="E6" s="5" t="n"/>
      <c r="F6" s="6" t="n"/>
      <c r="G6" t="inlineStr">
        <is>
          <t>Rest guaycura i</t>
        </is>
      </c>
      <c r="H6" s="7" t="n">
        <v>-1420.25</v>
      </c>
      <c r="I6" s="8" t="n">
        <v>0</v>
      </c>
      <c r="J6" s="7" t="n">
        <v>-1420.25</v>
      </c>
      <c r="K6" t="inlineStr">
        <is>
          <t>api</t>
        </is>
      </c>
    </row>
    <row r="7">
      <c r="A7" t="inlineStr">
        <is>
          <t>149654939435</t>
        </is>
      </c>
      <c r="B7" t="inlineStr">
        <is>
          <t>2026-03-14T16:33:18.000-04:00</t>
        </is>
      </c>
      <c r="C7" t="inlineStr">
        <is>
          <t>Money Transfer</t>
        </is>
      </c>
      <c r="D7" s="4" t="n"/>
      <c r="E7" s="5" t="n"/>
      <c r="F7" s="6" t="n"/>
      <c r="G7" t="inlineStr">
        <is>
          <t>Pago Marzo</t>
        </is>
      </c>
      <c r="H7" s="8" t="n">
        <v>24000</v>
      </c>
      <c r="I7" s="8" t="n">
        <v>0</v>
      </c>
      <c r="J7" s="8" t="n">
        <v>24000</v>
      </c>
      <c r="K7" t="inlineStr">
        <is>
          <t>api</t>
        </is>
      </c>
    </row>
    <row r="8">
      <c r="A8" t="inlineStr">
        <is>
          <t>150325531296</t>
        </is>
      </c>
      <c r="B8" t="inlineStr">
        <is>
          <t>2026-03-14T10:25:48.000-04:00</t>
        </is>
      </c>
      <c r="C8" t="inlineStr">
        <is>
          <t>Purchase/Expense</t>
        </is>
      </c>
      <c r="D8" s="4" t="n"/>
      <c r="E8" s="5" t="n"/>
      <c r="F8" s="6" t="n"/>
      <c r="G8" t="inlineStr">
        <is>
          <t>Fruteria hnos salgado</t>
        </is>
      </c>
      <c r="H8" s="7" t="n">
        <v>-212.08</v>
      </c>
      <c r="I8" s="8" t="n">
        <v>0</v>
      </c>
      <c r="J8" s="7" t="n">
        <v>-212.08</v>
      </c>
      <c r="K8" t="inlineStr">
        <is>
          <t>api</t>
        </is>
      </c>
    </row>
    <row r="9">
      <c r="A9" t="inlineStr">
        <is>
          <t>149559953399</t>
        </is>
      </c>
      <c r="B9" t="inlineStr">
        <is>
          <t>2026-03-13T21:47:31.000-04:00</t>
        </is>
      </c>
      <c r="C9" t="inlineStr">
        <is>
          <t>Purchase/Expense</t>
        </is>
      </c>
      <c r="D9" s="4" t="n"/>
      <c r="E9" s="5" t="n"/>
      <c r="F9" s="6" t="n"/>
      <c r="G9" t="inlineStr">
        <is>
          <t>Cuarenta seafood</t>
        </is>
      </c>
      <c r="H9" s="7" t="n">
        <v>-725</v>
      </c>
      <c r="I9" s="8" t="n">
        <v>0</v>
      </c>
      <c r="J9" s="7" t="n">
        <v>-725</v>
      </c>
      <c r="K9" t="inlineStr">
        <is>
          <t>api</t>
        </is>
      </c>
    </row>
    <row r="10">
      <c r="A10" t="inlineStr">
        <is>
          <t>149517241305</t>
        </is>
      </c>
      <c r="B10" t="inlineStr">
        <is>
          <t>2026-03-13T17:12:11.000-04:00</t>
        </is>
      </c>
      <c r="C10" t="inlineStr">
        <is>
          <t>Account Funding (Deposit)</t>
        </is>
      </c>
      <c r="D10" s="4" t="n"/>
      <c r="E10" s="5" t="n"/>
      <c r="F10" s="6" t="n"/>
      <c r="G10" t="inlineStr">
        <is>
          <t>Bank Transfer</t>
        </is>
      </c>
      <c r="H10" s="8" t="n">
        <v>25000</v>
      </c>
      <c r="I10" s="8" t="n">
        <v>0</v>
      </c>
      <c r="J10" s="8" t="n">
        <v>25000</v>
      </c>
      <c r="K10" t="inlineStr">
        <is>
          <t>api</t>
        </is>
      </c>
    </row>
    <row r="11">
      <c r="A11" t="inlineStr">
        <is>
          <t>150221395096</t>
        </is>
      </c>
      <c r="B11" t="inlineStr">
        <is>
          <t>2026-03-13T15:18:15.000-04:00</t>
        </is>
      </c>
      <c r="C11" t="inlineStr">
        <is>
          <t>Purchase/Expense</t>
        </is>
      </c>
      <c r="D11" s="4" t="n"/>
      <c r="E11" s="5" t="n"/>
      <c r="F11" s="6" t="n"/>
      <c r="G11" t="inlineStr">
        <is>
          <t>Ferre mar</t>
        </is>
      </c>
      <c r="H11" s="7" t="n">
        <v>-211.31</v>
      </c>
      <c r="I11" s="8" t="n">
        <v>0</v>
      </c>
      <c r="J11" s="7" t="n">
        <v>-211.31</v>
      </c>
      <c r="K11" t="inlineStr">
        <is>
          <t>api</t>
        </is>
      </c>
    </row>
    <row r="12">
      <c r="A12" t="inlineStr">
        <is>
          <t>149433334877</t>
        </is>
      </c>
      <c r="B12" t="inlineStr">
        <is>
          <t>2026-03-13T07:11:48.000-04:00</t>
        </is>
      </c>
      <c r="C12" t="inlineStr">
        <is>
          <t>Money Transfer</t>
        </is>
      </c>
      <c r="D12" s="4" t="n"/>
      <c r="E12" s="5" t="n"/>
      <c r="F12" s="6" t="n"/>
      <c r="G12" t="inlineStr">
        <is>
          <t>Ganancias!</t>
        </is>
      </c>
      <c r="H12" s="8" t="n">
        <v>1.44</v>
      </c>
      <c r="I12" s="8" t="n">
        <v>0</v>
      </c>
      <c r="J12" s="8" t="n">
        <v>1.44</v>
      </c>
      <c r="K12" t="inlineStr">
        <is>
          <t>api</t>
        </is>
      </c>
    </row>
    <row r="13">
      <c r="A13" t="inlineStr">
        <is>
          <t>1741037217284</t>
        </is>
      </c>
      <c r="B13" t="inlineStr">
        <is>
          <t>2026-03-13</t>
        </is>
      </c>
      <c r="C13" t="inlineStr">
        <is>
          <t>Bank Deposit</t>
        </is>
      </c>
      <c r="D13" s="4" t="n"/>
      <c r="E13" s="5" t="n"/>
      <c r="F13" s="6" t="n"/>
      <c r="G13" t="inlineStr">
        <is>
          <t>asset_management</t>
        </is>
      </c>
      <c r="H13" s="8" t="n">
        <v>1.04</v>
      </c>
      <c r="I13" s="8" t="n">
        <v>0</v>
      </c>
      <c r="J13" s="8" t="n">
        <v>1.04</v>
      </c>
      <c r="K13" t="inlineStr">
        <is>
          <t>release</t>
        </is>
      </c>
    </row>
    <row r="14">
      <c r="A14" t="inlineStr">
        <is>
          <t>149366435475</t>
        </is>
      </c>
      <c r="B14" t="inlineStr">
        <is>
          <t>2026-03-12T17:46:16.000-04:00</t>
        </is>
      </c>
      <c r="C14" t="inlineStr">
        <is>
          <t>Purchase/Expense</t>
        </is>
      </c>
      <c r="D14" s="4" t="n"/>
      <c r="E14" s="5" t="n"/>
      <c r="F14" s="6" t="n"/>
      <c r="G14" t="inlineStr">
        <is>
          <t>Oxxopuerto los cabos</t>
        </is>
      </c>
      <c r="H14" s="7" t="n">
        <v>-39</v>
      </c>
      <c r="I14" s="8" t="n">
        <v>0</v>
      </c>
      <c r="J14" s="7" t="n">
        <v>-39</v>
      </c>
      <c r="K14" t="inlineStr">
        <is>
          <t>api</t>
        </is>
      </c>
    </row>
    <row r="15">
      <c r="A15" t="inlineStr">
        <is>
          <t>149350048107</t>
        </is>
      </c>
      <c r="B15" t="inlineStr">
        <is>
          <t>2026-03-12T15:57:33.000-04:00</t>
        </is>
      </c>
      <c r="C15" t="inlineStr">
        <is>
          <t>Purchase/Expense</t>
        </is>
      </c>
      <c r="D15" s="4" t="n"/>
      <c r="E15" s="5" t="n"/>
      <c r="F15" s="6" t="n"/>
      <c r="G15" t="inlineStr">
        <is>
          <t>Gas pescadero</t>
        </is>
      </c>
      <c r="H15" s="7" t="n">
        <v>-947.8200000000001</v>
      </c>
      <c r="I15" s="8" t="n">
        <v>0</v>
      </c>
      <c r="J15" s="7" t="n">
        <v>-947.8200000000001</v>
      </c>
      <c r="K15" t="inlineStr">
        <is>
          <t>api</t>
        </is>
      </c>
    </row>
    <row r="16">
      <c r="A16" t="inlineStr">
        <is>
          <t>149985500382</t>
        </is>
      </c>
      <c r="B16" t="inlineStr">
        <is>
          <t>2026-03-12T02:37:37.000-04:00</t>
        </is>
      </c>
      <c r="C16" t="inlineStr">
        <is>
          <t>Money Transfer</t>
        </is>
      </c>
      <c r="D16" s="4" t="n"/>
      <c r="E16" s="5" t="n"/>
      <c r="F16" s="6" t="n"/>
      <c r="G16" t="inlineStr">
        <is>
          <t>Ganancias!</t>
        </is>
      </c>
      <c r="H16" s="8" t="n">
        <v>1.33</v>
      </c>
      <c r="I16" s="8" t="n">
        <v>0</v>
      </c>
      <c r="J16" s="8" t="n">
        <v>1.33</v>
      </c>
      <c r="K16" t="inlineStr">
        <is>
          <t>api</t>
        </is>
      </c>
    </row>
    <row r="17">
      <c r="A17" t="inlineStr">
        <is>
          <t>1740973630829</t>
        </is>
      </c>
      <c r="B17" t="inlineStr">
        <is>
          <t>2026-03-12</t>
        </is>
      </c>
      <c r="C17" t="inlineStr">
        <is>
          <t>Bank Deposit</t>
        </is>
      </c>
      <c r="D17" s="4" t="n"/>
      <c r="E17" s="5" t="n"/>
      <c r="F17" s="6" t="n"/>
      <c r="G17" t="inlineStr">
        <is>
          <t>asset_management</t>
        </is>
      </c>
      <c r="H17" s="8" t="n">
        <v>1.17</v>
      </c>
      <c r="I17" s="8" t="n">
        <v>0</v>
      </c>
      <c r="J17" s="8" t="n">
        <v>1.17</v>
      </c>
      <c r="K17" t="inlineStr">
        <is>
          <t>release</t>
        </is>
      </c>
    </row>
    <row r="18">
      <c r="A18" t="inlineStr">
        <is>
          <t>149945683460</t>
        </is>
      </c>
      <c r="B18" t="inlineStr">
        <is>
          <t>2026-03-11T18:45:54.000-04:00</t>
        </is>
      </c>
      <c r="C18" t="inlineStr">
        <is>
          <t>Purchase/Expense</t>
        </is>
      </c>
      <c r="D18" s="4" t="n"/>
      <c r="E18" s="5" t="n"/>
      <c r="F18" s="6" t="n"/>
      <c r="G18" t="inlineStr">
        <is>
          <t>Fruteria hnos salgado</t>
        </is>
      </c>
      <c r="H18" s="7" t="n">
        <v>-48</v>
      </c>
      <c r="I18" s="8" t="n">
        <v>0</v>
      </c>
      <c r="J18" s="7" t="n">
        <v>-48</v>
      </c>
      <c r="K18" t="inlineStr">
        <is>
          <t>api</t>
        </is>
      </c>
    </row>
    <row r="19">
      <c r="A19" t="inlineStr">
        <is>
          <t>149132387961</t>
        </is>
      </c>
      <c r="B19" t="inlineStr">
        <is>
          <t>2026-03-11T07:39:53.000-04:00</t>
        </is>
      </c>
      <c r="C19" t="inlineStr">
        <is>
          <t>Money Transfer</t>
        </is>
      </c>
      <c r="D19" s="4" t="n"/>
      <c r="E19" s="5" t="n"/>
      <c r="F19" s="6" t="n"/>
      <c r="G19" t="inlineStr">
        <is>
          <t>Ganancias!</t>
        </is>
      </c>
      <c r="H19" s="8" t="n">
        <v>0.05</v>
      </c>
      <c r="I19" s="8" t="n">
        <v>0</v>
      </c>
      <c r="J19" s="8" t="n">
        <v>0.05</v>
      </c>
      <c r="K19" t="inlineStr">
        <is>
          <t>api</t>
        </is>
      </c>
    </row>
    <row r="20">
      <c r="A20" t="inlineStr">
        <is>
          <t>1740911226937</t>
        </is>
      </c>
      <c r="B20" t="inlineStr">
        <is>
          <t>2026-03-11</t>
        </is>
      </c>
      <c r="C20" t="inlineStr">
        <is>
          <t>Bank Deposit</t>
        </is>
      </c>
      <c r="D20" s="4" t="n"/>
      <c r="E20" s="5" t="n"/>
      <c r="F20" s="6" t="n"/>
      <c r="G20" t="inlineStr">
        <is>
          <t>asset_management</t>
        </is>
      </c>
      <c r="H20" s="8" t="n">
        <v>0.05</v>
      </c>
      <c r="I20" s="8" t="n">
        <v>0</v>
      </c>
      <c r="J20" s="8" t="n">
        <v>0.05</v>
      </c>
      <c r="K20" t="inlineStr">
        <is>
          <t>release</t>
        </is>
      </c>
    </row>
    <row r="21">
      <c r="A21" t="inlineStr">
        <is>
          <t>149090458189</t>
        </is>
      </c>
      <c r="B21" t="inlineStr">
        <is>
          <t>2026-03-10T20:58:57.000-04:00</t>
        </is>
      </c>
      <c r="C21" t="inlineStr">
        <is>
          <t>Purchase/Expense</t>
        </is>
      </c>
      <c r="D21" s="4" t="n"/>
      <c r="E21" s="5" t="n"/>
      <c r="F21" s="6" t="n"/>
      <c r="G21" t="inlineStr">
        <is>
          <t>Fruteria hnos salgado</t>
        </is>
      </c>
      <c r="H21" s="7" t="n">
        <v>-71.63</v>
      </c>
      <c r="I21" s="8" t="n">
        <v>0</v>
      </c>
      <c r="J21" s="7" t="n">
        <v>-71.63</v>
      </c>
      <c r="K21" t="inlineStr">
        <is>
          <t>api</t>
        </is>
      </c>
    </row>
    <row r="22">
      <c r="A22" t="inlineStr">
        <is>
          <t>149759914990</t>
        </is>
      </c>
      <c r="B22" t="inlineStr">
        <is>
          <t>2026-03-10T15:35:49.000-04:00</t>
        </is>
      </c>
      <c r="C22" t="inlineStr">
        <is>
          <t>Purchase/Expense</t>
        </is>
      </c>
      <c r="D22" s="4" t="n"/>
      <c r="E22" s="5" t="n"/>
      <c r="F22" s="6" t="n"/>
      <c r="G22" t="inlineStr">
        <is>
          <t>Openrouter, inc</t>
        </is>
      </c>
      <c r="H22" s="7" t="n">
        <v>-189.92</v>
      </c>
      <c r="I22" s="8" t="n">
        <v>0</v>
      </c>
      <c r="J22" s="7" t="n">
        <v>-189.92</v>
      </c>
      <c r="K22" t="inlineStr">
        <is>
          <t>api</t>
        </is>
      </c>
    </row>
    <row r="23">
      <c r="A23" t="inlineStr">
        <is>
          <t>149040491785</t>
        </is>
      </c>
      <c r="B23" t="inlineStr">
        <is>
          <t>2026-03-10T15:34:41.000-04:00</t>
        </is>
      </c>
      <c r="C23" t="inlineStr">
        <is>
          <t>Account Funding (Deposit)</t>
        </is>
      </c>
      <c r="D23" s="4" t="n"/>
      <c r="E23" s="5" t="n"/>
      <c r="F23" s="6" t="n"/>
      <c r="G23" t="inlineStr">
        <is>
          <t>Bank Transfer</t>
        </is>
      </c>
      <c r="H23" s="8" t="n">
        <v>35000</v>
      </c>
      <c r="I23" s="8" t="n">
        <v>0</v>
      </c>
      <c r="J23" s="8" t="n">
        <v>35000</v>
      </c>
      <c r="K23" t="inlineStr">
        <is>
          <t>api</t>
        </is>
      </c>
    </row>
    <row r="24">
      <c r="A24" t="inlineStr">
        <is>
          <t>149037213361</t>
        </is>
      </c>
      <c r="B24" t="inlineStr">
        <is>
          <t>2026-03-10T15:09:50.000-04:00</t>
        </is>
      </c>
      <c r="C24" t="inlineStr">
        <is>
          <t>POS Sale</t>
        </is>
      </c>
      <c r="D24" s="4" t="n"/>
      <c r="E24" s="5" t="n"/>
      <c r="F24" s="6" t="n"/>
      <c r="G24" t="inlineStr">
        <is>
          <t>Venta presencial</t>
        </is>
      </c>
      <c r="H24" s="8" t="n">
        <v>5</v>
      </c>
      <c r="I24" s="7" t="n">
        <v>-0.2000000000000002</v>
      </c>
      <c r="J24" s="8" t="n">
        <v>4.8</v>
      </c>
      <c r="K24" t="inlineStr">
        <is>
          <t>api</t>
        </is>
      </c>
    </row>
    <row r="25">
      <c r="A25" t="inlineStr">
        <is>
          <t>149005388713</t>
        </is>
      </c>
      <c r="B25" t="inlineStr">
        <is>
          <t>2026-03-10T11:20:43.000-04:00</t>
        </is>
      </c>
      <c r="C25" t="inlineStr">
        <is>
          <t>Money Transfer</t>
        </is>
      </c>
      <c r="D25" s="4" t="n"/>
      <c r="E25" s="5" t="n"/>
      <c r="F25" s="6" t="n"/>
      <c r="G25" t="inlineStr">
        <is>
          <t>Ganancias!</t>
        </is>
      </c>
      <c r="H25" s="8" t="n">
        <v>0.04</v>
      </c>
      <c r="I25" s="8" t="n">
        <v>0</v>
      </c>
      <c r="J25" s="8" t="n">
        <v>0.04</v>
      </c>
      <c r="K25" t="inlineStr">
        <is>
          <t>api</t>
        </is>
      </c>
    </row>
    <row r="26">
      <c r="A26" t="inlineStr">
        <is>
          <t>149722634102</t>
        </is>
      </c>
      <c r="B26" t="inlineStr">
        <is>
          <t>2026-03-10T11:12:06.000-04:00</t>
        </is>
      </c>
      <c r="C26" t="inlineStr">
        <is>
          <t>Purchase/Expense</t>
        </is>
      </c>
      <c r="D26" s="4" t="n"/>
      <c r="E26" s="5" t="n"/>
      <c r="F26" s="6" t="n"/>
      <c r="G26" t="inlineStr">
        <is>
          <t>Sqsp* websit#225712064</t>
        </is>
      </c>
      <c r="H26" s="7" t="n">
        <v>-250</v>
      </c>
      <c r="I26" s="8" t="n">
        <v>0</v>
      </c>
      <c r="J26" s="7" t="n">
        <v>-250</v>
      </c>
      <c r="K26" t="inlineStr">
        <is>
          <t>api</t>
        </is>
      </c>
    </row>
    <row r="27">
      <c r="A27" t="inlineStr">
        <is>
          <t>1740840099638</t>
        </is>
      </c>
      <c r="B27" t="inlineStr">
        <is>
          <t>2026-03-10</t>
        </is>
      </c>
      <c r="C27" t="inlineStr">
        <is>
          <t>Bank Deposit</t>
        </is>
      </c>
      <c r="D27" s="4" t="n"/>
      <c r="E27" s="5" t="n"/>
      <c r="F27" s="6" t="n"/>
      <c r="G27" t="inlineStr">
        <is>
          <t>asset_management</t>
        </is>
      </c>
      <c r="H27" s="8" t="n">
        <v>0.04</v>
      </c>
      <c r="I27" s="8" t="n">
        <v>0</v>
      </c>
      <c r="J27" s="8" t="n">
        <v>0.04</v>
      </c>
      <c r="K27" t="inlineStr">
        <is>
          <t>release</t>
        </is>
      </c>
    </row>
    <row r="28">
      <c r="A28" t="inlineStr">
        <is>
          <t>149065743129</t>
        </is>
      </c>
      <c r="B28" t="inlineStr">
        <is>
          <t>2026-03-10</t>
        </is>
      </c>
      <c r="C28" t="inlineStr">
        <is>
          <t>Bank Withdrawal</t>
        </is>
      </c>
      <c r="D28" s="4" t="n"/>
      <c r="E28" s="5" t="n"/>
      <c r="F28" s="6" t="n"/>
      <c r="G28" t="inlineStr">
        <is>
          <t>reserve_for_payout</t>
        </is>
      </c>
      <c r="H28" s="8" t="n">
        <v>27250</v>
      </c>
      <c r="I28" s="8" t="n">
        <v>0</v>
      </c>
      <c r="J28" s="7" t="n">
        <v>-27250</v>
      </c>
      <c r="K28" t="inlineStr">
        <is>
          <t>release</t>
        </is>
      </c>
    </row>
    <row r="29">
      <c r="A29" t="inlineStr">
        <is>
          <t>148909410669</t>
        </is>
      </c>
      <c r="B29" t="inlineStr">
        <is>
          <t>2026-03-09T18:21:22.000-04:00</t>
        </is>
      </c>
      <c r="C29" t="inlineStr">
        <is>
          <t>Purchase/Expense</t>
        </is>
      </c>
      <c r="D29" s="4" t="n"/>
      <c r="E29" s="5" t="n"/>
      <c r="F29" s="6" t="n"/>
      <c r="G29" t="inlineStr">
        <is>
          <t>Openrouter, inc</t>
        </is>
      </c>
      <c r="H29" s="7" t="n">
        <v>-192.79</v>
      </c>
      <c r="I29" s="8" t="n">
        <v>0</v>
      </c>
      <c r="J29" s="7" t="n">
        <v>-192.79</v>
      </c>
      <c r="K29" t="inlineStr">
        <is>
          <t>api</t>
        </is>
      </c>
    </row>
    <row r="30">
      <c r="A30" t="inlineStr">
        <is>
          <t>149561000292</t>
        </is>
      </c>
      <c r="B30" t="inlineStr">
        <is>
          <t>2026-03-09T10:46:50.000-04:00</t>
        </is>
      </c>
      <c r="C30" t="inlineStr">
        <is>
          <t>Purchase/Expense</t>
        </is>
      </c>
      <c r="D30" s="4" t="n"/>
      <c r="E30" s="5" t="n"/>
      <c r="F30" s="6" t="n"/>
      <c r="G30" t="inlineStr">
        <is>
          <t>Fruteria hnos salgado</t>
        </is>
      </c>
      <c r="H30" s="7" t="n">
        <v>-364</v>
      </c>
      <c r="I30" s="8" t="n">
        <v>0</v>
      </c>
      <c r="J30" s="7" t="n">
        <v>-364</v>
      </c>
      <c r="K30" t="inlineStr">
        <is>
          <t>api</t>
        </is>
      </c>
    </row>
    <row r="31">
      <c r="A31" t="inlineStr">
        <is>
          <t>149560429442</t>
        </is>
      </c>
      <c r="B31" t="inlineStr">
        <is>
          <t>2026-03-09T10:44:40.000-04:00</t>
        </is>
      </c>
      <c r="C31" t="inlineStr">
        <is>
          <t>Account Funding (Deposit)</t>
        </is>
      </c>
      <c r="D31" s="4" t="n"/>
      <c r="E31" s="5" t="n"/>
      <c r="F31" s="6" t="n"/>
      <c r="G31" t="inlineStr">
        <is>
          <t>Bank Transfer</t>
        </is>
      </c>
      <c r="H31" s="8" t="n">
        <v>1000</v>
      </c>
      <c r="I31" s="8" t="n">
        <v>0</v>
      </c>
      <c r="J31" s="8" t="n">
        <v>1000</v>
      </c>
      <c r="K31" t="inlineStr">
        <is>
          <t>api</t>
        </is>
      </c>
    </row>
    <row r="32">
      <c r="A32" t="inlineStr">
        <is>
          <t>148796617649</t>
        </is>
      </c>
      <c r="B32" t="inlineStr">
        <is>
          <t>2026-03-09T02:43:43.000-04:00</t>
        </is>
      </c>
      <c r="C32" t="inlineStr">
        <is>
          <t>Money Transfer</t>
        </is>
      </c>
      <c r="D32" s="4" t="n"/>
      <c r="E32" s="5" t="n"/>
      <c r="F32" s="6" t="n"/>
      <c r="G32" t="inlineStr">
        <is>
          <t>Ganancias!</t>
        </is>
      </c>
      <c r="H32" s="8" t="n">
        <v>1.03</v>
      </c>
      <c r="I32" s="8" t="n">
        <v>0</v>
      </c>
      <c r="J32" s="8" t="n">
        <v>1.03</v>
      </c>
      <c r="K32" t="inlineStr">
        <is>
          <t>api</t>
        </is>
      </c>
    </row>
    <row r="33">
      <c r="A33" t="inlineStr">
        <is>
          <t>1740770145519</t>
        </is>
      </c>
      <c r="B33" t="inlineStr">
        <is>
          <t>2026-03-09</t>
        </is>
      </c>
      <c r="C33" t="inlineStr">
        <is>
          <t>Bank Deposit</t>
        </is>
      </c>
      <c r="D33" s="4" t="n"/>
      <c r="E33" s="5" t="n"/>
      <c r="F33" s="6" t="n"/>
      <c r="G33" t="inlineStr">
        <is>
          <t>asset_management</t>
        </is>
      </c>
      <c r="H33" s="8" t="n">
        <v>0.9</v>
      </c>
      <c r="I33" s="8" t="n">
        <v>0</v>
      </c>
      <c r="J33" s="8" t="n">
        <v>0.9</v>
      </c>
      <c r="K33" t="inlineStr">
        <is>
          <t>release</t>
        </is>
      </c>
    </row>
    <row r="34">
      <c r="A34" t="inlineStr">
        <is>
          <t>148895869183</t>
        </is>
      </c>
      <c r="B34" t="inlineStr">
        <is>
          <t>2026-03-09</t>
        </is>
      </c>
      <c r="C34" t="inlineStr">
        <is>
          <t>Bank Withdrawal</t>
        </is>
      </c>
      <c r="D34" s="4" t="n"/>
      <c r="E34" s="5" t="n"/>
      <c r="F34" s="6" t="n"/>
      <c r="G34" t="inlineStr">
        <is>
          <t>reserve_for_payout</t>
        </is>
      </c>
      <c r="H34" s="8" t="n">
        <v>350</v>
      </c>
      <c r="I34" s="8" t="n">
        <v>0</v>
      </c>
      <c r="J34" s="7" t="n">
        <v>-350</v>
      </c>
      <c r="K34" t="inlineStr">
        <is>
          <t>release</t>
        </is>
      </c>
    </row>
    <row r="35">
      <c r="A35" t="inlineStr">
        <is>
          <t>148786219679</t>
        </is>
      </c>
      <c r="B35" t="inlineStr">
        <is>
          <t>2026-03-08T23:16:09.000-04:00</t>
        </is>
      </c>
      <c r="C35" t="inlineStr">
        <is>
          <t>Purchase/Expense</t>
        </is>
      </c>
      <c r="D35" s="4" t="n"/>
      <c r="E35" s="5" t="n"/>
      <c r="F35" s="6" t="n"/>
      <c r="G35" t="inlineStr">
        <is>
          <t>Openrouter, inc</t>
        </is>
      </c>
      <c r="H35" s="7" t="n">
        <v>-193.09</v>
      </c>
      <c r="I35" s="8" t="n">
        <v>0</v>
      </c>
      <c r="J35" s="7" t="n">
        <v>-193.09</v>
      </c>
      <c r="K35" t="inlineStr">
        <is>
          <t>api</t>
        </is>
      </c>
    </row>
    <row r="36">
      <c r="A36" t="inlineStr">
        <is>
          <t>148768616249</t>
        </is>
      </c>
      <c r="B36" t="inlineStr">
        <is>
          <t>2026-03-08T19:56:00.000-04:00</t>
        </is>
      </c>
      <c r="C36" t="inlineStr">
        <is>
          <t>Purchase/Expense</t>
        </is>
      </c>
      <c r="D36" s="4" t="n"/>
      <c r="E36" s="5" t="n"/>
      <c r="F36" s="6" t="n"/>
      <c r="G36" t="inlineStr">
        <is>
          <t>Fruteria hnos salgado</t>
        </is>
      </c>
      <c r="H36" s="7" t="n">
        <v>-203.48</v>
      </c>
      <c r="I36" s="8" t="n">
        <v>0</v>
      </c>
      <c r="J36" s="7" t="n">
        <v>-203.48</v>
      </c>
      <c r="K36" t="inlineStr">
        <is>
          <t>api</t>
        </is>
      </c>
    </row>
    <row r="37">
      <c r="A37" t="inlineStr">
        <is>
          <t>148749353729</t>
        </is>
      </c>
      <c r="B37" t="inlineStr">
        <is>
          <t>2026-03-08T17:09:16.000-04:00</t>
        </is>
      </c>
      <c r="C37" t="inlineStr">
        <is>
          <t>Purchase/Expense</t>
        </is>
      </c>
      <c r="D37" s="4" t="n"/>
      <c r="E37" s="5" t="n"/>
      <c r="F37" s="6" t="n"/>
      <c r="G37" t="inlineStr">
        <is>
          <t>Agricole cooperativa</t>
        </is>
      </c>
      <c r="H37" s="7" t="n">
        <v>-394.26</v>
      </c>
      <c r="I37" s="8" t="n">
        <v>0</v>
      </c>
      <c r="J37" s="7" t="n">
        <v>-394.26</v>
      </c>
      <c r="K37" t="inlineStr">
        <is>
          <t>api</t>
        </is>
      </c>
    </row>
    <row r="38">
      <c r="A38" t="inlineStr">
        <is>
          <t>149437751988</t>
        </is>
      </c>
      <c r="B38" t="inlineStr">
        <is>
          <t>2026-03-08T12:29:20.000-04:00</t>
        </is>
      </c>
      <c r="C38" t="inlineStr">
        <is>
          <t>Purchase/Expense</t>
        </is>
      </c>
      <c r="D38" s="4" t="n"/>
      <c r="E38" s="5" t="n"/>
      <c r="F38" s="6" t="n"/>
      <c r="G38" t="inlineStr">
        <is>
          <t>Openrouter, inc</t>
        </is>
      </c>
      <c r="H38" s="7" t="n">
        <v>-193.09</v>
      </c>
      <c r="I38" s="8" t="n">
        <v>0</v>
      </c>
      <c r="J38" s="7" t="n">
        <v>-193.09</v>
      </c>
      <c r="K38" t="inlineStr">
        <is>
          <t>api</t>
        </is>
      </c>
    </row>
    <row r="39">
      <c r="A39" t="inlineStr">
        <is>
          <t>148667860425</t>
        </is>
      </c>
      <c r="B39" t="inlineStr">
        <is>
          <t>2026-03-07T22:09:33.000-04:00</t>
        </is>
      </c>
      <c r="C39" t="inlineStr">
        <is>
          <t>Purchase/Expense</t>
        </is>
      </c>
      <c r="D39" s="4" t="n"/>
      <c r="E39" s="5" t="n"/>
      <c r="F39" s="6" t="n"/>
      <c r="G39" t="inlineStr">
        <is>
          <t>Mercadopago *pescader</t>
        </is>
      </c>
      <c r="H39" s="7" t="n">
        <v>-115</v>
      </c>
      <c r="I39" s="8" t="n">
        <v>0</v>
      </c>
      <c r="J39" s="7" t="n">
        <v>-115</v>
      </c>
      <c r="K39" t="inlineStr">
        <is>
          <t>api</t>
        </is>
      </c>
    </row>
    <row r="40">
      <c r="A40" t="inlineStr">
        <is>
          <t>148667501149</t>
        </is>
      </c>
      <c r="B40" t="inlineStr">
        <is>
          <t>2026-03-07T22:07:36.000-04:00</t>
        </is>
      </c>
      <c r="C40" t="inlineStr">
        <is>
          <t>Purchase/Expense</t>
        </is>
      </c>
      <c r="D40" s="4" t="n"/>
      <c r="E40" s="5" t="n"/>
      <c r="F40" s="6" t="n"/>
      <c r="G40" t="inlineStr">
        <is>
          <t>Mercadopago *pescader</t>
        </is>
      </c>
      <c r="H40" s="7" t="n">
        <v>-240</v>
      </c>
      <c r="I40" s="8" t="n">
        <v>0</v>
      </c>
      <c r="J40" s="7" t="n">
        <v>-240</v>
      </c>
      <c r="K40" t="inlineStr">
        <is>
          <t>api</t>
        </is>
      </c>
    </row>
    <row r="41">
      <c r="A41" t="inlineStr">
        <is>
          <t>148508294091</t>
        </is>
      </c>
      <c r="B41" t="inlineStr">
        <is>
          <t>2026-03-06T20:45:22.000-04:00</t>
        </is>
      </c>
      <c r="C41" t="inlineStr">
        <is>
          <t>Purchase/Expense</t>
        </is>
      </c>
      <c r="D41" s="4" t="n"/>
      <c r="E41" s="5" t="n"/>
      <c r="F41" s="6" t="n"/>
      <c r="G41" t="inlineStr">
        <is>
          <t>Openrouter, inc</t>
        </is>
      </c>
      <c r="H41" s="7" t="n">
        <v>-193.09</v>
      </c>
      <c r="I41" s="8" t="n">
        <v>0</v>
      </c>
      <c r="J41" s="7" t="n">
        <v>-193.09</v>
      </c>
      <c r="K41" t="inlineStr">
        <is>
          <t>api</t>
        </is>
      </c>
    </row>
    <row r="42">
      <c r="A42" t="inlineStr">
        <is>
          <t>148446975255</t>
        </is>
      </c>
      <c r="B42" t="inlineStr">
        <is>
          <t>2026-03-06T14:57:14.000-04:00</t>
        </is>
      </c>
      <c r="C42" t="inlineStr">
        <is>
          <t>Purchase/Expense</t>
        </is>
      </c>
      <c r="D42" s="4" t="n"/>
      <c r="E42" s="5" t="n"/>
      <c r="F42" s="6" t="n"/>
      <c r="G42" t="inlineStr">
        <is>
          <t>Openrouter, inc</t>
        </is>
      </c>
      <c r="H42" s="7" t="n">
        <v>-193.09</v>
      </c>
      <c r="I42" s="8" t="n">
        <v>0</v>
      </c>
      <c r="J42" s="7" t="n">
        <v>-193.09</v>
      </c>
      <c r="K42" t="inlineStr">
        <is>
          <t>api</t>
        </is>
      </c>
    </row>
    <row r="43">
      <c r="A43" t="inlineStr">
        <is>
          <t>148368699035</t>
        </is>
      </c>
      <c r="B43" t="inlineStr">
        <is>
          <t>2026-03-06T05:29:12.000-04:00</t>
        </is>
      </c>
      <c r="C43" t="inlineStr">
        <is>
          <t>Money Transfer</t>
        </is>
      </c>
      <c r="D43" s="4" t="n"/>
      <c r="E43" s="5" t="n"/>
      <c r="F43" s="6" t="n"/>
      <c r="G43" t="inlineStr">
        <is>
          <t>Ganancias!</t>
        </is>
      </c>
      <c r="H43" s="8" t="n">
        <v>1.19</v>
      </c>
      <c r="I43" s="8" t="n">
        <v>0</v>
      </c>
      <c r="J43" s="8" t="n">
        <v>1.19</v>
      </c>
      <c r="K43" t="inlineStr">
        <is>
          <t>api</t>
        </is>
      </c>
    </row>
    <row r="44">
      <c r="A44" t="inlineStr">
        <is>
          <t>1740706964789</t>
        </is>
      </c>
      <c r="B44" t="inlineStr">
        <is>
          <t>2026-03-06</t>
        </is>
      </c>
      <c r="C44" t="inlineStr">
        <is>
          <t>Bank Deposit</t>
        </is>
      </c>
      <c r="D44" s="4" t="n"/>
      <c r="E44" s="5" t="n"/>
      <c r="F44" s="6" t="n"/>
      <c r="G44" t="inlineStr">
        <is>
          <t>asset_management</t>
        </is>
      </c>
      <c r="H44" s="8" t="n">
        <v>0.92</v>
      </c>
      <c r="I44" s="8" t="n">
        <v>0</v>
      </c>
      <c r="J44" s="8" t="n">
        <v>0.92</v>
      </c>
      <c r="K44" t="inlineStr">
        <is>
          <t>release</t>
        </is>
      </c>
    </row>
    <row r="45">
      <c r="A45" t="inlineStr">
        <is>
          <t>148342205101</t>
        </is>
      </c>
      <c r="B45" t="inlineStr">
        <is>
          <t>2026-03-05T22:06:51.000-04:00</t>
        </is>
      </c>
      <c r="C45" t="inlineStr">
        <is>
          <t>Purchase/Expense</t>
        </is>
      </c>
      <c r="D45" s="4" t="n"/>
      <c r="E45" s="5" t="n"/>
      <c r="F45" s="6" t="n"/>
      <c r="G45" t="inlineStr">
        <is>
          <t>Bod frutas lizarr t sa</t>
        </is>
      </c>
      <c r="H45" s="7" t="n">
        <v>-72.40000000000001</v>
      </c>
      <c r="I45" s="8" t="n">
        <v>0</v>
      </c>
      <c r="J45" s="7" t="n">
        <v>-72.40000000000001</v>
      </c>
      <c r="K45" t="inlineStr">
        <is>
          <t>api</t>
        </is>
      </c>
    </row>
    <row r="46">
      <c r="A46" t="inlineStr">
        <is>
          <t>149037049982</t>
        </is>
      </c>
      <c r="B46" t="inlineStr">
        <is>
          <t>2026-03-05T19:26:53.000-04:00</t>
        </is>
      </c>
      <c r="C46" t="inlineStr">
        <is>
          <t>Purchase/Expense</t>
        </is>
      </c>
      <c r="D46" s="4" t="n"/>
      <c r="E46" s="5" t="n"/>
      <c r="F46" s="6" t="n"/>
      <c r="G46" t="inlineStr">
        <is>
          <t>Openrouter, inc</t>
        </is>
      </c>
      <c r="H46" s="7" t="n">
        <v>-191.8</v>
      </c>
      <c r="I46" s="8" t="n">
        <v>0</v>
      </c>
      <c r="J46" s="7" t="n">
        <v>-191.8</v>
      </c>
      <c r="K46" t="inlineStr">
        <is>
          <t>api</t>
        </is>
      </c>
    </row>
    <row r="47">
      <c r="A47" t="inlineStr">
        <is>
          <t>148274926101</t>
        </is>
      </c>
      <c r="B47" t="inlineStr">
        <is>
          <t>2026-03-05T14:28:10.000-04:00</t>
        </is>
      </c>
      <c r="C47" t="inlineStr">
        <is>
          <t>Purchase/Expense</t>
        </is>
      </c>
      <c r="D47" s="4" t="n"/>
      <c r="E47" s="5" t="n"/>
      <c r="F47" s="6" t="n"/>
      <c r="G47" t="inlineStr">
        <is>
          <t>Openrouter, inc</t>
        </is>
      </c>
      <c r="H47" s="7" t="n">
        <v>-191.8</v>
      </c>
      <c r="I47" s="8" t="n">
        <v>0</v>
      </c>
      <c r="J47" s="7" t="n">
        <v>-191.8</v>
      </c>
      <c r="K47" t="inlineStr">
        <is>
          <t>api</t>
        </is>
      </c>
    </row>
    <row r="48">
      <c r="A48" t="inlineStr">
        <is>
          <t>148237282055</t>
        </is>
      </c>
      <c r="B48" t="inlineStr">
        <is>
          <t>2026-03-05T10:13:09.000-04:00</t>
        </is>
      </c>
      <c r="C48" t="inlineStr">
        <is>
          <t>Money Transfer</t>
        </is>
      </c>
      <c r="D48" s="4" t="n"/>
      <c r="E48" s="5" t="n"/>
      <c r="F48" s="6" t="n"/>
      <c r="G48" t="inlineStr">
        <is>
          <t>Ganancias!</t>
        </is>
      </c>
      <c r="H48" s="8" t="n">
        <v>1.21</v>
      </c>
      <c r="I48" s="8" t="n">
        <v>0</v>
      </c>
      <c r="J48" s="8" t="n">
        <v>1.21</v>
      </c>
      <c r="K48" t="inlineStr">
        <is>
          <t>api</t>
        </is>
      </c>
    </row>
    <row r="49">
      <c r="A49" t="inlineStr">
        <is>
          <t>1740659356404</t>
        </is>
      </c>
      <c r="B49" t="inlineStr">
        <is>
          <t>2026-03-05</t>
        </is>
      </c>
      <c r="C49" t="inlineStr">
        <is>
          <t>Bank Deposit</t>
        </is>
      </c>
      <c r="D49" s="4" t="n"/>
      <c r="E49" s="5" t="n"/>
      <c r="F49" s="6" t="n"/>
      <c r="G49" t="inlineStr">
        <is>
          <t>asset_management</t>
        </is>
      </c>
      <c r="H49" s="8" t="n">
        <v>1</v>
      </c>
      <c r="I49" s="8" t="n">
        <v>0</v>
      </c>
      <c r="J49" s="8" t="n">
        <v>1</v>
      </c>
      <c r="K49" t="inlineStr">
        <is>
          <t>release</t>
        </is>
      </c>
    </row>
    <row r="50">
      <c r="A50" t="inlineStr">
        <is>
          <t>148967377994</t>
        </is>
      </c>
      <c r="B50" t="inlineStr">
        <is>
          <t>2026-03-05</t>
        </is>
      </c>
      <c r="C50" t="inlineStr">
        <is>
          <t>Bank Withdrawal</t>
        </is>
      </c>
      <c r="D50" s="4" t="n"/>
      <c r="E50" s="5" t="n"/>
      <c r="F50" s="6" t="n"/>
      <c r="G50" t="inlineStr">
        <is>
          <t>reserve_for_payout</t>
        </is>
      </c>
      <c r="H50" s="8" t="n">
        <v>4000</v>
      </c>
      <c r="I50" s="8" t="n">
        <v>0</v>
      </c>
      <c r="J50" s="7" t="n">
        <v>-4000</v>
      </c>
      <c r="K50" t="inlineStr">
        <is>
          <t>release</t>
        </is>
      </c>
    </row>
    <row r="51">
      <c r="A51" t="inlineStr">
        <is>
          <t>148883706654</t>
        </is>
      </c>
      <c r="B51" t="inlineStr">
        <is>
          <t>2026-03-04T20:14:12.000-04:00</t>
        </is>
      </c>
      <c r="C51" t="inlineStr">
        <is>
          <t>Purchase/Expense</t>
        </is>
      </c>
      <c r="D51" s="4" t="n"/>
      <c r="E51" s="5" t="n"/>
      <c r="F51" s="6" t="n"/>
      <c r="G51" t="inlineStr">
        <is>
          <t>Openrouter, inc</t>
        </is>
      </c>
      <c r="H51" s="7" t="n">
        <v>-190.36</v>
      </c>
      <c r="I51" s="8" t="n">
        <v>0</v>
      </c>
      <c r="J51" s="7" t="n">
        <v>-190.36</v>
      </c>
      <c r="K51" t="inlineStr">
        <is>
          <t>api</t>
        </is>
      </c>
    </row>
    <row r="52">
      <c r="A52" t="inlineStr">
        <is>
          <t>148804669984</t>
        </is>
      </c>
      <c r="B52" t="inlineStr">
        <is>
          <t>2026-03-04T10:50:59.000-04:00</t>
        </is>
      </c>
      <c r="C52" t="inlineStr">
        <is>
          <t>Purchase/Expense</t>
        </is>
      </c>
      <c r="D52" s="4" t="n"/>
      <c r="E52" s="5" t="n"/>
      <c r="F52" s="6" t="n"/>
      <c r="G52" t="inlineStr">
        <is>
          <t>Fruteria hnos salgado</t>
        </is>
      </c>
      <c r="H52" s="7" t="n">
        <v>-95</v>
      </c>
      <c r="I52" s="8" t="n">
        <v>0</v>
      </c>
      <c r="J52" s="7" t="n">
        <v>-95</v>
      </c>
      <c r="K52" t="inlineStr">
        <is>
          <t>api</t>
        </is>
      </c>
    </row>
    <row r="53">
      <c r="A53" t="inlineStr">
        <is>
          <t>148770662014</t>
        </is>
      </c>
      <c r="B53" t="inlineStr">
        <is>
          <t>2026-03-04T05:48:20.000-04:00</t>
        </is>
      </c>
      <c r="C53" t="inlineStr">
        <is>
          <t>Money Transfer</t>
        </is>
      </c>
      <c r="D53" s="4" t="n"/>
      <c r="E53" s="5" t="n"/>
      <c r="F53" s="6" t="n"/>
      <c r="G53" t="inlineStr">
        <is>
          <t>Ganancias!</t>
        </is>
      </c>
      <c r="H53" s="8" t="n">
        <v>1.27</v>
      </c>
      <c r="I53" s="8" t="n">
        <v>0</v>
      </c>
      <c r="J53" s="8" t="n">
        <v>1.27</v>
      </c>
      <c r="K53" t="inlineStr">
        <is>
          <t>api</t>
        </is>
      </c>
    </row>
    <row r="54">
      <c r="A54" t="inlineStr">
        <is>
          <t>1740596085324</t>
        </is>
      </c>
      <c r="B54" t="inlineStr">
        <is>
          <t>2026-03-04</t>
        </is>
      </c>
      <c r="C54" t="inlineStr">
        <is>
          <t>Bank Deposit</t>
        </is>
      </c>
      <c r="D54" s="4" t="n"/>
      <c r="E54" s="5" t="n"/>
      <c r="F54" s="6" t="n"/>
      <c r="G54" t="inlineStr">
        <is>
          <t>asset_management</t>
        </is>
      </c>
      <c r="H54" s="8" t="n">
        <v>1.03</v>
      </c>
      <c r="I54" s="8" t="n">
        <v>0</v>
      </c>
      <c r="J54" s="8" t="n">
        <v>1.03</v>
      </c>
      <c r="K54" t="inlineStr">
        <is>
          <t>release</t>
        </is>
      </c>
    </row>
    <row r="55">
      <c r="A55" t="inlineStr">
        <is>
          <t>147972134505</t>
        </is>
      </c>
      <c r="B55" t="inlineStr">
        <is>
          <t>2026-03-03T14:47:32.000-04:00</t>
        </is>
      </c>
      <c r="C55" t="inlineStr">
        <is>
          <t>Purchase/Expense</t>
        </is>
      </c>
      <c r="D55" s="4" t="n"/>
      <c r="E55" s="5" t="n"/>
      <c r="F55" s="6" t="n"/>
      <c r="G55" t="inlineStr">
        <is>
          <t>Openrouter, inc</t>
        </is>
      </c>
      <c r="H55" s="7" t="n">
        <v>-192.3</v>
      </c>
      <c r="I55" s="8" t="n">
        <v>0</v>
      </c>
      <c r="J55" s="7" t="n">
        <v>-192.3</v>
      </c>
      <c r="K55" t="inlineStr">
        <is>
          <t>api</t>
        </is>
      </c>
    </row>
    <row r="56">
      <c r="A56" t="inlineStr">
        <is>
          <t>148664050758</t>
        </is>
      </c>
      <c r="B56" t="inlineStr">
        <is>
          <t>2026-03-03T11:59:31.000-04:00</t>
        </is>
      </c>
      <c r="C56" t="inlineStr">
        <is>
          <t>Purchase/Expense</t>
        </is>
      </c>
      <c r="D56" s="4" t="n"/>
      <c r="E56" s="5" t="n"/>
      <c r="F56" s="6" t="n"/>
      <c r="G56" t="inlineStr">
        <is>
          <t>Docecuarenta cafe</t>
        </is>
      </c>
      <c r="H56" s="7" t="n">
        <v>-110</v>
      </c>
      <c r="I56" s="8" t="n">
        <v>0</v>
      </c>
      <c r="J56" s="7" t="n">
        <v>-110</v>
      </c>
      <c r="K56" t="inlineStr">
        <is>
          <t>api</t>
        </is>
      </c>
    </row>
    <row r="57">
      <c r="A57" t="inlineStr">
        <is>
          <t>147909983541</t>
        </is>
      </c>
      <c r="B57" t="inlineStr">
        <is>
          <t>2026-03-03T06:33:26.000-04:00</t>
        </is>
      </c>
      <c r="C57" t="inlineStr">
        <is>
          <t>Money Transfer</t>
        </is>
      </c>
      <c r="D57" s="4" t="n"/>
      <c r="E57" s="5" t="n"/>
      <c r="F57" s="6" t="n"/>
      <c r="G57" t="inlineStr">
        <is>
          <t>Ganancias!</t>
        </is>
      </c>
      <c r="H57" s="8" t="n">
        <v>1.51</v>
      </c>
      <c r="I57" s="8" t="n">
        <v>0</v>
      </c>
      <c r="J57" s="8" t="n">
        <v>1.51</v>
      </c>
      <c r="K57" t="inlineStr">
        <is>
          <t>api</t>
        </is>
      </c>
    </row>
    <row r="58">
      <c r="A58" t="inlineStr">
        <is>
          <t>1740537435773</t>
        </is>
      </c>
      <c r="B58" t="inlineStr">
        <is>
          <t>2026-03-03</t>
        </is>
      </c>
      <c r="C58" t="inlineStr">
        <is>
          <t>Bank Deposit</t>
        </is>
      </c>
      <c r="D58" s="4" t="n"/>
      <c r="E58" s="5" t="n"/>
      <c r="F58" s="6" t="n"/>
      <c r="G58" t="inlineStr">
        <is>
          <t>asset_management</t>
        </is>
      </c>
      <c r="H58" s="8" t="n">
        <v>1.25</v>
      </c>
      <c r="I58" s="8" t="n">
        <v>0</v>
      </c>
      <c r="J58" s="8" t="n">
        <v>1.25</v>
      </c>
      <c r="K58" t="inlineStr">
        <is>
          <t>release</t>
        </is>
      </c>
    </row>
    <row r="59">
      <c r="A59" t="inlineStr">
        <is>
          <t>148536719432</t>
        </is>
      </c>
      <c r="B59" t="inlineStr">
        <is>
          <t>2026-03-02T15:27:57.000-04:00</t>
        </is>
      </c>
      <c r="C59" t="inlineStr">
        <is>
          <t>Purchase/Expense</t>
        </is>
      </c>
      <c r="D59" s="4" t="n"/>
      <c r="E59" s="5" t="n"/>
      <c r="F59" s="6" t="n"/>
      <c r="G59" t="inlineStr">
        <is>
          <t>Fruteria hnos salgado</t>
        </is>
      </c>
      <c r="H59" s="7" t="n">
        <v>-436.57</v>
      </c>
      <c r="I59" s="8" t="n">
        <v>0</v>
      </c>
      <c r="J59" s="7" t="n">
        <v>-436.57</v>
      </c>
      <c r="K59" t="inlineStr">
        <is>
          <t>api</t>
        </is>
      </c>
    </row>
    <row r="60">
      <c r="A60" t="inlineStr">
        <is>
          <t>148517904852</t>
        </is>
      </c>
      <c r="B60" t="inlineStr">
        <is>
          <t>2026-03-02T13:00:06.000-04:00</t>
        </is>
      </c>
      <c r="C60" t="inlineStr">
        <is>
          <t>Account Funding (Deposit)</t>
        </is>
      </c>
      <c r="D60" s="4" t="n"/>
      <c r="E60" s="5" t="n"/>
      <c r="F60" s="6" t="n"/>
      <c r="G60" t="inlineStr">
        <is>
          <t>Bank Transfer</t>
        </is>
      </c>
      <c r="H60" s="8" t="n">
        <v>15000</v>
      </c>
      <c r="I60" s="8" t="n">
        <v>0</v>
      </c>
      <c r="J60" s="8" t="n">
        <v>15000</v>
      </c>
      <c r="K60" t="inlineStr">
        <is>
          <t>api</t>
        </is>
      </c>
    </row>
    <row r="61">
      <c r="A61" t="inlineStr">
        <is>
          <t>148452012728</t>
        </is>
      </c>
      <c r="B61" t="inlineStr">
        <is>
          <t>2026-03-02T02:54:24.000-04:00</t>
        </is>
      </c>
      <c r="C61" t="inlineStr">
        <is>
          <t>Money Transfer</t>
        </is>
      </c>
      <c r="D61" s="4" t="n"/>
      <c r="E61" s="5" t="n"/>
      <c r="F61" s="6" t="n"/>
      <c r="G61" t="inlineStr">
        <is>
          <t>Ganancias!</t>
        </is>
      </c>
      <c r="H61" s="8" t="n">
        <v>6.9</v>
      </c>
      <c r="I61" s="8" t="n">
        <v>0</v>
      </c>
      <c r="J61" s="8" t="n">
        <v>6.9</v>
      </c>
      <c r="K61" t="inlineStr">
        <is>
          <t>api</t>
        </is>
      </c>
    </row>
    <row r="62">
      <c r="A62" t="inlineStr">
        <is>
          <t>1740447682526</t>
        </is>
      </c>
      <c r="B62" t="inlineStr">
        <is>
          <t>2026-03-02</t>
        </is>
      </c>
      <c r="C62" t="inlineStr">
        <is>
          <t>Bank Deposit</t>
        </is>
      </c>
      <c r="D62" s="4" t="n"/>
      <c r="E62" s="5" t="n"/>
      <c r="F62" s="6" t="n"/>
      <c r="G62" t="inlineStr">
        <is>
          <t>asset_management</t>
        </is>
      </c>
      <c r="H62" s="8" t="n">
        <v>6.58</v>
      </c>
      <c r="I62" s="8" t="n">
        <v>0</v>
      </c>
      <c r="J62" s="8" t="n">
        <v>6.58</v>
      </c>
      <c r="K62" t="inlineStr">
        <is>
          <t>release</t>
        </is>
      </c>
    </row>
    <row r="63">
      <c r="A63" t="inlineStr">
        <is>
          <t>148518052846</t>
        </is>
      </c>
      <c r="B63" t="inlineStr">
        <is>
          <t>2026-03-02</t>
        </is>
      </c>
      <c r="C63" t="inlineStr">
        <is>
          <t>Bank Withdrawal</t>
        </is>
      </c>
      <c r="D63" s="4" t="n"/>
      <c r="E63" s="5" t="n"/>
      <c r="F63" s="6" t="n"/>
      <c r="G63" t="inlineStr">
        <is>
          <t>reserve_for_payout</t>
        </is>
      </c>
      <c r="H63" s="8" t="n">
        <v>10950</v>
      </c>
      <c r="I63" s="8" t="n">
        <v>0</v>
      </c>
      <c r="J63" s="7" t="n">
        <v>-10950</v>
      </c>
      <c r="K63" t="inlineStr">
        <is>
          <t>release</t>
        </is>
      </c>
    </row>
    <row r="64">
      <c r="A64" t="inlineStr">
        <is>
          <t>147883767681</t>
        </is>
      </c>
      <c r="B64" t="inlineStr">
        <is>
          <t>2026-03-02</t>
        </is>
      </c>
      <c r="C64" t="inlineStr">
        <is>
          <t>Bank Withdrawal</t>
        </is>
      </c>
      <c r="D64" s="4" t="n"/>
      <c r="E64" s="5" t="n"/>
      <c r="F64" s="6" t="n"/>
      <c r="G64" t="inlineStr">
        <is>
          <t>reserve_for_payout</t>
        </is>
      </c>
      <c r="H64" s="8" t="n">
        <v>5000</v>
      </c>
      <c r="I64" s="8" t="n">
        <v>0</v>
      </c>
      <c r="J64" s="7" t="n">
        <v>-5000</v>
      </c>
      <c r="K64" t="inlineStr">
        <is>
          <t>release</t>
        </is>
      </c>
    </row>
    <row r="65">
      <c r="A65" t="inlineStr">
        <is>
          <t>148419037448</t>
        </is>
      </c>
      <c r="B65" t="inlineStr">
        <is>
          <t>2026-03-01T19:23:56.000-04:00</t>
        </is>
      </c>
      <c r="C65" t="inlineStr">
        <is>
          <t>Purchase/Expense</t>
        </is>
      </c>
      <c r="D65" s="4" t="n"/>
      <c r="E65" s="5" t="n"/>
      <c r="F65" s="6" t="n"/>
      <c r="G65" t="inlineStr">
        <is>
          <t>Gas est apto s j cabo</t>
        </is>
      </c>
      <c r="H65" s="7" t="n">
        <v>-665.3</v>
      </c>
      <c r="I65" s="8" t="n">
        <v>0</v>
      </c>
      <c r="J65" s="7" t="n">
        <v>-665.3</v>
      </c>
      <c r="K65" t="inlineStr">
        <is>
          <t>api</t>
        </is>
      </c>
    </row>
    <row r="66">
      <c r="A66" t="inlineStr">
        <is>
          <t>148417697748</t>
        </is>
      </c>
      <c r="B66" t="inlineStr">
        <is>
          <t>2026-03-01T19:13:50.000-04:00</t>
        </is>
      </c>
      <c r="C66" t="inlineStr">
        <is>
          <t>Purchase/Expense</t>
        </is>
      </c>
      <c r="D66" s="4" t="n"/>
      <c r="E66" s="5" t="n"/>
      <c r="F66" s="6" t="n"/>
      <c r="G66" t="inlineStr">
        <is>
          <t>San jose parknfly</t>
        </is>
      </c>
      <c r="H66" s="7" t="n">
        <v>-700.35</v>
      </c>
      <c r="I66" s="8" t="n">
        <v>0</v>
      </c>
      <c r="J66" s="7" t="n">
        <v>-700.35</v>
      </c>
      <c r="K66" t="inlineStr">
        <is>
          <t>api</t>
        </is>
      </c>
    </row>
    <row r="67">
      <c r="A67" t="inlineStr">
        <is>
          <t>148283389288</t>
        </is>
      </c>
      <c r="B67" t="inlineStr">
        <is>
          <t>2026-02-28T17:17:39.000-04:00</t>
        </is>
      </c>
      <c r="C67" t="inlineStr">
        <is>
          <t>Purchase/Expense</t>
        </is>
      </c>
      <c r="D67" s="4" t="n"/>
      <c r="E67" s="5" t="n"/>
      <c r="F67" s="6" t="n"/>
      <c r="G67" t="inlineStr">
        <is>
          <t>Liverpool perisur</t>
        </is>
      </c>
      <c r="H67" s="7" t="n">
        <v>-485</v>
      </c>
      <c r="I67" s="8" t="n">
        <v>0</v>
      </c>
      <c r="J67" s="7" t="n">
        <v>-485</v>
      </c>
      <c r="K67" t="inlineStr">
        <is>
          <t>api</t>
        </is>
      </c>
    </row>
    <row r="68">
      <c r="A68" t="inlineStr">
        <is>
          <t>148036668656</t>
        </is>
      </c>
      <c r="B68" t="inlineStr">
        <is>
          <t>2026-02-27T02:36:54.000-04:00</t>
        </is>
      </c>
      <c r="C68" t="inlineStr">
        <is>
          <t>Money Transfer</t>
        </is>
      </c>
      <c r="D68" s="4" t="n"/>
      <c r="E68" s="5" t="n"/>
      <c r="F68" s="6" t="n"/>
      <c r="G68" t="inlineStr">
        <is>
          <t>Ganancias!</t>
        </is>
      </c>
      <c r="H68" s="8" t="n">
        <v>2.49</v>
      </c>
      <c r="I68" s="8" t="n">
        <v>0</v>
      </c>
      <c r="J68" s="8" t="n">
        <v>2.49</v>
      </c>
      <c r="K68" t="inlineStr">
        <is>
          <t>api</t>
        </is>
      </c>
    </row>
    <row r="69">
      <c r="A69" t="inlineStr">
        <is>
          <t>1740384786157</t>
        </is>
      </c>
      <c r="B69" t="inlineStr">
        <is>
          <t>2026-02-27</t>
        </is>
      </c>
      <c r="C69" t="inlineStr">
        <is>
          <t>Bank Deposit</t>
        </is>
      </c>
      <c r="D69" s="4" t="n"/>
      <c r="E69" s="5" t="n"/>
      <c r="F69" s="6" t="n"/>
      <c r="G69" t="inlineStr">
        <is>
          <t>asset_management</t>
        </is>
      </c>
      <c r="H69" s="8" t="n">
        <v>2.07</v>
      </c>
      <c r="I69" s="8" t="n">
        <v>0</v>
      </c>
      <c r="J69" s="8" t="n">
        <v>2.07</v>
      </c>
      <c r="K69" t="inlineStr">
        <is>
          <t>release</t>
        </is>
      </c>
    </row>
    <row r="70">
      <c r="A70" t="inlineStr">
        <is>
          <t>148166615122</t>
        </is>
      </c>
      <c r="B70" t="inlineStr">
        <is>
          <t>2026-02-27</t>
        </is>
      </c>
      <c r="C70" t="inlineStr">
        <is>
          <t>Bank Withdrawal</t>
        </is>
      </c>
      <c r="D70" s="4" t="n"/>
      <c r="E70" s="5" t="n"/>
      <c r="F70" s="6" t="n"/>
      <c r="G70" t="inlineStr">
        <is>
          <t>reserve_for_payout</t>
        </is>
      </c>
      <c r="H70" s="8" t="n">
        <v>3445</v>
      </c>
      <c r="I70" s="8" t="n">
        <v>0</v>
      </c>
      <c r="J70" s="7" t="n">
        <v>-3445</v>
      </c>
      <c r="K70" t="inlineStr">
        <is>
          <t>release</t>
        </is>
      </c>
    </row>
    <row r="71">
      <c r="A71" t="inlineStr">
        <is>
          <t>147958280334</t>
        </is>
      </c>
      <c r="B71" t="inlineStr">
        <is>
          <t>2026-02-26T13:27:55.000-04:00</t>
        </is>
      </c>
      <c r="C71" t="inlineStr">
        <is>
          <t>Purchase/Expense</t>
        </is>
      </c>
      <c r="D71" s="4" t="n"/>
      <c r="E71" s="5" t="n"/>
      <c r="F71" s="6" t="n"/>
      <c r="G71" t="inlineStr">
        <is>
          <t>Serv fotografia itami</t>
        </is>
      </c>
      <c r="H71" s="7" t="n">
        <v>-150</v>
      </c>
      <c r="I71" s="8" t="n">
        <v>0</v>
      </c>
      <c r="J71" s="7" t="n">
        <v>-150</v>
      </c>
      <c r="K71" t="inlineStr">
        <is>
          <t>api</t>
        </is>
      </c>
    </row>
    <row r="72">
      <c r="A72" t="inlineStr">
        <is>
          <t>147854359046</t>
        </is>
      </c>
      <c r="B72" t="inlineStr">
        <is>
          <t>2026-02-26T02:35:23.000-04:00</t>
        </is>
      </c>
      <c r="C72" t="inlineStr">
        <is>
          <t>Money Transfer</t>
        </is>
      </c>
      <c r="D72" s="4" t="n"/>
      <c r="E72" s="5" t="n"/>
      <c r="F72" s="6" t="n"/>
      <c r="G72" t="inlineStr">
        <is>
          <t>Ganancias!</t>
        </is>
      </c>
      <c r="H72" s="8" t="n">
        <v>2.42</v>
      </c>
      <c r="I72" s="8" t="n">
        <v>0</v>
      </c>
      <c r="J72" s="8" t="n">
        <v>2.42</v>
      </c>
      <c r="K72" t="inlineStr">
        <is>
          <t>api</t>
        </is>
      </c>
    </row>
    <row r="73">
      <c r="A73" t="inlineStr">
        <is>
          <t>1740324172142</t>
        </is>
      </c>
      <c r="B73" t="inlineStr">
        <is>
          <t>2026-02-26</t>
        </is>
      </c>
      <c r="C73" t="inlineStr">
        <is>
          <t>Bank Deposit</t>
        </is>
      </c>
      <c r="D73" s="4" t="n"/>
      <c r="E73" s="5" t="n"/>
      <c r="F73" s="6" t="n"/>
      <c r="G73" t="inlineStr">
        <is>
          <t>asset_management</t>
        </is>
      </c>
      <c r="H73" s="8" t="n">
        <v>2.11</v>
      </c>
      <c r="I73" s="8" t="n">
        <v>0</v>
      </c>
      <c r="J73" s="8" t="n">
        <v>2.11</v>
      </c>
      <c r="K73" t="inlineStr">
        <is>
          <t>release</t>
        </is>
      </c>
    </row>
    <row r="74">
      <c r="A74" t="inlineStr">
        <is>
          <t>147686129774</t>
        </is>
      </c>
      <c r="B74" t="inlineStr">
        <is>
          <t>2026-02-25T07:26:54.000-04:00</t>
        </is>
      </c>
      <c r="C74" t="inlineStr">
        <is>
          <t>Money Transfer</t>
        </is>
      </c>
      <c r="D74" s="4" t="n"/>
      <c r="E74" s="5" t="n"/>
      <c r="F74" s="6" t="n"/>
      <c r="G74" t="inlineStr">
        <is>
          <t>Ganancias!</t>
        </is>
      </c>
      <c r="H74" s="8" t="n">
        <v>2.29</v>
      </c>
      <c r="I74" s="8" t="n">
        <v>0</v>
      </c>
      <c r="J74" s="8" t="n">
        <v>2.29</v>
      </c>
      <c r="K74" t="inlineStr">
        <is>
          <t>api</t>
        </is>
      </c>
    </row>
    <row r="75">
      <c r="A75" t="inlineStr">
        <is>
          <t>1740266371450</t>
        </is>
      </c>
      <c r="B75" t="inlineStr">
        <is>
          <t>2026-02-25</t>
        </is>
      </c>
      <c r="C75" t="inlineStr">
        <is>
          <t>Bank Deposit</t>
        </is>
      </c>
      <c r="D75" s="4" t="n"/>
      <c r="E75" s="5" t="n"/>
      <c r="F75" s="6" t="n"/>
      <c r="G75" t="inlineStr">
        <is>
          <t>asset_management</t>
        </is>
      </c>
      <c r="H75" s="8" t="n">
        <v>2.3</v>
      </c>
      <c r="I75" s="8" t="n">
        <v>0</v>
      </c>
      <c r="J75" s="8" t="n">
        <v>2.3</v>
      </c>
      <c r="K75" t="inlineStr">
        <is>
          <t>release</t>
        </is>
      </c>
    </row>
    <row r="76">
      <c r="A76" t="inlineStr">
        <is>
          <t>147576367146</t>
        </is>
      </c>
      <c r="B76" t="inlineStr">
        <is>
          <t>2026-02-24T11:27:09.000-04:00</t>
        </is>
      </c>
      <c r="C76" t="inlineStr">
        <is>
          <t>Purchase/Expense</t>
        </is>
      </c>
      <c r="D76" s="4" t="n"/>
      <c r="E76" s="5" t="n"/>
      <c r="F76" s="6" t="n"/>
      <c r="G76" t="inlineStr">
        <is>
          <t>Openrouter, inc</t>
        </is>
      </c>
      <c r="H76" s="7" t="n">
        <v>-186.8</v>
      </c>
      <c r="I76" s="8" t="n">
        <v>0</v>
      </c>
      <c r="J76" s="7" t="n">
        <v>-186.8</v>
      </c>
      <c r="K76" t="inlineStr">
        <is>
          <t>api</t>
        </is>
      </c>
    </row>
    <row r="77">
      <c r="A77" t="inlineStr">
        <is>
          <t>146826706821</t>
        </is>
      </c>
      <c r="B77" t="inlineStr">
        <is>
          <t>2026-02-24T02:35:32.000-04:00</t>
        </is>
      </c>
      <c r="C77" t="inlineStr">
        <is>
          <t>Money Transfer</t>
        </is>
      </c>
      <c r="D77" s="4" t="n"/>
      <c r="E77" s="5" t="n"/>
      <c r="F77" s="6" t="n"/>
      <c r="G77" t="inlineStr">
        <is>
          <t>Ganancias!</t>
        </is>
      </c>
      <c r="H77" s="8" t="n">
        <v>2.57</v>
      </c>
      <c r="I77" s="8" t="n">
        <v>0</v>
      </c>
      <c r="J77" s="8" t="n">
        <v>2.57</v>
      </c>
      <c r="K77" t="inlineStr">
        <is>
          <t>api</t>
        </is>
      </c>
    </row>
    <row r="78">
      <c r="A78" t="inlineStr">
        <is>
          <t>1740204064142</t>
        </is>
      </c>
      <c r="B78" t="inlineStr">
        <is>
          <t>2026-02-24</t>
        </is>
      </c>
      <c r="C78" t="inlineStr">
        <is>
          <t>Bank Deposit</t>
        </is>
      </c>
      <c r="D78" s="4" t="n"/>
      <c r="E78" s="5" t="n"/>
      <c r="F78" s="6" t="n"/>
      <c r="G78" t="inlineStr">
        <is>
          <t>asset_management</t>
        </is>
      </c>
      <c r="H78" s="8" t="n">
        <v>2.13</v>
      </c>
      <c r="I78" s="8" t="n">
        <v>0</v>
      </c>
      <c r="J78" s="8" t="n">
        <v>2.13</v>
      </c>
      <c r="K78" t="inlineStr">
        <is>
          <t>release</t>
        </is>
      </c>
    </row>
    <row r="79">
      <c r="A79" t="inlineStr">
        <is>
          <t>147471691224</t>
        </is>
      </c>
      <c r="B79" t="inlineStr">
        <is>
          <t>2026-02-23T16:19:28.000-04:00</t>
        </is>
      </c>
      <c r="C79" t="inlineStr">
        <is>
          <t>Purchase/Expense</t>
        </is>
      </c>
      <c r="D79" s="4" t="n"/>
      <c r="E79" s="5" t="n"/>
      <c r="F79" s="6" t="n"/>
      <c r="G79" t="inlineStr">
        <is>
          <t>Pescadero</t>
        </is>
      </c>
      <c r="H79" s="7" t="n">
        <v>-76.51000000000001</v>
      </c>
      <c r="I79" s="8" t="n">
        <v>0</v>
      </c>
      <c r="J79" s="7" t="n">
        <v>-76.51000000000001</v>
      </c>
      <c r="K79" t="inlineStr">
        <is>
          <t>api</t>
        </is>
      </c>
    </row>
    <row r="80">
      <c r="A80" t="inlineStr">
        <is>
          <t>147456577570</t>
        </is>
      </c>
      <c r="B80" t="inlineStr">
        <is>
          <t>2026-02-23T14:10:15.000-04:00</t>
        </is>
      </c>
      <c r="C80" t="inlineStr">
        <is>
          <t>Purchase/Expense</t>
        </is>
      </c>
      <c r="D80" s="4" t="n"/>
      <c r="E80" s="5" t="n"/>
      <c r="F80" s="6" t="n"/>
      <c r="G80" t="inlineStr">
        <is>
          <t>Openrouter, inc</t>
        </is>
      </c>
      <c r="H80" s="7" t="n">
        <v>-186.32</v>
      </c>
      <c r="I80" s="8" t="n">
        <v>0</v>
      </c>
      <c r="J80" s="7" t="n">
        <v>-186.32</v>
      </c>
      <c r="K80" t="inlineStr">
        <is>
          <t>api</t>
        </is>
      </c>
    </row>
    <row r="81">
      <c r="A81" t="inlineStr">
        <is>
          <t>147418546932</t>
        </is>
      </c>
      <c r="B81" t="inlineStr">
        <is>
          <t>2026-02-23T09:24:50.000-04:00</t>
        </is>
      </c>
      <c r="C81" t="inlineStr">
        <is>
          <t>Money Transfer</t>
        </is>
      </c>
      <c r="D81" s="4" t="n"/>
      <c r="E81" s="5" t="n"/>
      <c r="F81" s="6" t="n"/>
      <c r="G81" t="inlineStr">
        <is>
          <t>Ganancias!</t>
        </is>
      </c>
      <c r="H81" s="8" t="n">
        <v>5.17</v>
      </c>
      <c r="I81" s="8" t="n">
        <v>0</v>
      </c>
      <c r="J81" s="8" t="n">
        <v>5.17</v>
      </c>
      <c r="K81" t="inlineStr">
        <is>
          <t>api</t>
        </is>
      </c>
    </row>
    <row r="82">
      <c r="A82" t="inlineStr">
        <is>
          <t>1740139224531</t>
        </is>
      </c>
      <c r="B82" t="inlineStr">
        <is>
          <t>2026-02-23</t>
        </is>
      </c>
      <c r="C82" t="inlineStr">
        <is>
          <t>Bank Deposit</t>
        </is>
      </c>
      <c r="D82" s="4" t="n"/>
      <c r="E82" s="5" t="n"/>
      <c r="F82" s="6" t="n"/>
      <c r="G82" t="inlineStr">
        <is>
          <t>asset_management</t>
        </is>
      </c>
      <c r="H82" s="8" t="n">
        <v>4.18</v>
      </c>
      <c r="I82" s="8" t="n">
        <v>0</v>
      </c>
      <c r="J82" s="8" t="n">
        <v>4.18</v>
      </c>
      <c r="K82" t="inlineStr">
        <is>
          <t>release</t>
        </is>
      </c>
    </row>
    <row r="83">
      <c r="A83" t="inlineStr">
        <is>
          <t>147345377484</t>
        </is>
      </c>
      <c r="B83" t="inlineStr">
        <is>
          <t>2026-02-22T17:07:18.000-04:00</t>
        </is>
      </c>
      <c r="C83" t="inlineStr">
        <is>
          <t>Purchase/Expense</t>
        </is>
      </c>
      <c r="D83" s="4" t="n"/>
      <c r="E83" s="5" t="n"/>
      <c r="F83" s="6" t="n"/>
      <c r="G83" t="inlineStr">
        <is>
          <t>Gas pescadero</t>
        </is>
      </c>
      <c r="H83" s="7" t="n">
        <v>-500</v>
      </c>
      <c r="I83" s="8" t="n">
        <v>0</v>
      </c>
      <c r="J83" s="7" t="n">
        <v>-500</v>
      </c>
      <c r="K83" t="inlineStr">
        <is>
          <t>api</t>
        </is>
      </c>
    </row>
    <row r="84">
      <c r="A84" t="inlineStr">
        <is>
          <t>147242616206</t>
        </is>
      </c>
      <c r="B84" t="inlineStr">
        <is>
          <t>2026-02-21T18:07:55.000-04:00</t>
        </is>
      </c>
      <c r="C84" t="inlineStr">
        <is>
          <t>Purchase/Expense</t>
        </is>
      </c>
      <c r="D84" s="4" t="n"/>
      <c r="E84" s="5" t="n"/>
      <c r="F84" s="6" t="n"/>
      <c r="G84" t="inlineStr">
        <is>
          <t>Chedraui s j cbo ca178</t>
        </is>
      </c>
      <c r="H84" s="7" t="n">
        <v>-908.5</v>
      </c>
      <c r="I84" s="8" t="n">
        <v>0</v>
      </c>
      <c r="J84" s="7" t="n">
        <v>-908.5</v>
      </c>
      <c r="K84" t="inlineStr">
        <is>
          <t>api</t>
        </is>
      </c>
    </row>
    <row r="85">
      <c r="A85" t="inlineStr">
        <is>
          <t>146541303515</t>
        </is>
      </c>
      <c r="B85" t="inlineStr">
        <is>
          <t>2026-02-21T17:59:49.000-04:00</t>
        </is>
      </c>
      <c r="C85" t="inlineStr">
        <is>
          <t>Account Funding (Deposit)</t>
        </is>
      </c>
      <c r="D85" s="4" t="n"/>
      <c r="E85" s="5" t="n"/>
      <c r="F85" s="6" t="n"/>
      <c r="G85" t="inlineStr">
        <is>
          <t>Bank Transfer</t>
        </is>
      </c>
      <c r="H85" s="8" t="n">
        <v>15000</v>
      </c>
      <c r="I85" s="8" t="n">
        <v>0</v>
      </c>
      <c r="J85" s="8" t="n">
        <v>15000</v>
      </c>
      <c r="K85" t="inlineStr">
        <is>
          <t>api</t>
        </is>
      </c>
    </row>
    <row r="86">
      <c r="A86" t="inlineStr">
        <is>
          <t>147208055718</t>
        </is>
      </c>
      <c r="B86" t="inlineStr">
        <is>
          <t>2026-02-21T13:28:00.000-04:00</t>
        </is>
      </c>
      <c r="C86" t="inlineStr">
        <is>
          <t>Money Transfer</t>
        </is>
      </c>
      <c r="D86" s="4" t="n"/>
      <c r="E86" s="5" t="n"/>
      <c r="F86" s="6" t="n"/>
      <c r="G86" t="inlineStr">
        <is>
          <t xml:space="preserve">Gracias </t>
        </is>
      </c>
      <c r="H86" s="8" t="n">
        <v>3000</v>
      </c>
      <c r="I86" s="8" t="n">
        <v>0</v>
      </c>
      <c r="J86" s="8" t="n">
        <v>3000</v>
      </c>
      <c r="K86" t="inlineStr">
        <is>
          <t>api</t>
        </is>
      </c>
    </row>
    <row r="87">
      <c r="A87" t="inlineStr">
        <is>
          <t>147188611468</t>
        </is>
      </c>
      <c r="B87" t="inlineStr">
        <is>
          <t>2026-02-21T11:12:40.000-04:00</t>
        </is>
      </c>
      <c r="C87" t="inlineStr">
        <is>
          <t>Purchase/Expense</t>
        </is>
      </c>
      <c r="D87" s="4" t="n"/>
      <c r="E87" s="5" t="n"/>
      <c r="F87" s="6" t="n"/>
      <c r="G87" t="inlineStr">
        <is>
          <t>Fruteria hnos salgado</t>
        </is>
      </c>
      <c r="H87" s="7" t="n">
        <v>-206</v>
      </c>
      <c r="I87" s="8" t="n">
        <v>0</v>
      </c>
      <c r="J87" s="7" t="n">
        <v>-206</v>
      </c>
      <c r="K87" t="inlineStr">
        <is>
          <t>api</t>
        </is>
      </c>
    </row>
    <row r="88">
      <c r="A88" t="inlineStr">
        <is>
          <t>147146173356</t>
        </is>
      </c>
      <c r="B88" t="inlineStr">
        <is>
          <t>2026-02-20T23:02:28.000-04:00</t>
        </is>
      </c>
      <c r="C88" t="inlineStr">
        <is>
          <t>Purchase/Expense</t>
        </is>
      </c>
      <c r="D88" s="4" t="n"/>
      <c r="E88" s="5" t="n"/>
      <c r="F88" s="6" t="n"/>
      <c r="G88" t="inlineStr">
        <is>
          <t>Depos modelo san marti</t>
        </is>
      </c>
      <c r="H88" s="7" t="n">
        <v>-25</v>
      </c>
      <c r="I88" s="8" t="n">
        <v>0</v>
      </c>
      <c r="J88" s="7" t="n">
        <v>-25</v>
      </c>
      <c r="K88" t="inlineStr">
        <is>
          <t>api</t>
        </is>
      </c>
    </row>
    <row r="89">
      <c r="A89" t="inlineStr">
        <is>
          <t>147136745630</t>
        </is>
      </c>
      <c r="B89" t="inlineStr">
        <is>
          <t>2026-02-20T21:20:06.000-04:00</t>
        </is>
      </c>
      <c r="C89" t="inlineStr">
        <is>
          <t>Purchase/Expense</t>
        </is>
      </c>
      <c r="D89" s="4" t="n"/>
      <c r="E89" s="5" t="n"/>
      <c r="F89" s="6" t="n"/>
      <c r="G89" t="inlineStr">
        <is>
          <t>Openrouter, inc</t>
        </is>
      </c>
      <c r="H89" s="7" t="n">
        <v>-186.32</v>
      </c>
      <c r="I89" s="8" t="n">
        <v>0</v>
      </c>
      <c r="J89" s="7" t="n">
        <v>-186.32</v>
      </c>
      <c r="K89" t="inlineStr">
        <is>
          <t>api</t>
        </is>
      </c>
    </row>
    <row r="90">
      <c r="A90" t="inlineStr">
        <is>
          <t>147100743980</t>
        </is>
      </c>
      <c r="B90" t="inlineStr">
        <is>
          <t>2026-02-20T17:29:13.000-04:00</t>
        </is>
      </c>
      <c r="C90" t="inlineStr">
        <is>
          <t>Purchase/Expense</t>
        </is>
      </c>
      <c r="D90" s="4" t="n"/>
      <c r="E90" s="5" t="n"/>
      <c r="F90" s="6" t="n"/>
      <c r="G90" t="n">
        <v/>
      </c>
      <c r="H90" s="7" t="n">
        <v>-5087.64</v>
      </c>
      <c r="I90" s="8" t="n">
        <v>0</v>
      </c>
      <c r="J90" s="7" t="n">
        <v>-5087.64</v>
      </c>
      <c r="K90" t="inlineStr">
        <is>
          <t>api</t>
        </is>
      </c>
    </row>
    <row r="91">
      <c r="A91" t="inlineStr">
        <is>
          <t>146363781575</t>
        </is>
      </c>
      <c r="B91" t="inlineStr">
        <is>
          <t>2026-02-20T13:04:06.000-04:00</t>
        </is>
      </c>
      <c r="C91" t="inlineStr">
        <is>
          <t>Purchase/Expense</t>
        </is>
      </c>
      <c r="D91" s="4" t="n"/>
      <c r="E91" s="5" t="n"/>
      <c r="F91" s="6" t="n"/>
      <c r="G91" t="inlineStr">
        <is>
          <t>Fruteria hnos salgado</t>
        </is>
      </c>
      <c r="H91" s="7" t="n">
        <v>-315.28</v>
      </c>
      <c r="I91" s="8" t="n">
        <v>0</v>
      </c>
      <c r="J91" s="7" t="n">
        <v>-315.28</v>
      </c>
      <c r="K91" t="inlineStr">
        <is>
          <t>api</t>
        </is>
      </c>
    </row>
    <row r="92">
      <c r="A92" t="inlineStr">
        <is>
          <t>146999850310</t>
        </is>
      </c>
      <c r="B92" t="inlineStr">
        <is>
          <t>2026-02-20T02:58:47.000-04:00</t>
        </is>
      </c>
      <c r="C92" t="inlineStr">
        <is>
          <t>Money Transfer</t>
        </is>
      </c>
      <c r="D92" s="4" t="n"/>
      <c r="E92" s="5" t="n"/>
      <c r="F92" s="6" t="n"/>
      <c r="G92" t="inlineStr">
        <is>
          <t>Ganancias!</t>
        </is>
      </c>
      <c r="H92" s="8" t="n">
        <v>1.73</v>
      </c>
      <c r="I92" s="8" t="n">
        <v>0</v>
      </c>
      <c r="J92" s="8" t="n">
        <v>1.73</v>
      </c>
      <c r="K92" t="inlineStr">
        <is>
          <t>api</t>
        </is>
      </c>
    </row>
    <row r="93">
      <c r="A93" t="inlineStr">
        <is>
          <t>146293294097</t>
        </is>
      </c>
      <c r="B93" t="inlineStr">
        <is>
          <t>2026-02-20T00:16:56.000-04:00</t>
        </is>
      </c>
      <c r="C93" t="inlineStr">
        <is>
          <t>Purchase/Expense</t>
        </is>
      </c>
      <c r="D93" s="4" t="n"/>
      <c r="E93" s="5" t="n"/>
      <c r="F93" s="6" t="n"/>
      <c r="G93" t="inlineStr">
        <is>
          <t>Mercadopago *tacos3ca</t>
        </is>
      </c>
      <c r="H93" s="7" t="n">
        <v>-345</v>
      </c>
      <c r="I93" s="8" t="n">
        <v>0</v>
      </c>
      <c r="J93" s="7" t="n">
        <v>-345</v>
      </c>
      <c r="K93" t="inlineStr">
        <is>
          <t>api</t>
        </is>
      </c>
    </row>
    <row r="94">
      <c r="A94" t="inlineStr">
        <is>
          <t>1740071994745</t>
        </is>
      </c>
      <c r="B94" t="inlineStr">
        <is>
          <t>2026-02-20</t>
        </is>
      </c>
      <c r="C94" t="inlineStr">
        <is>
          <t>Bank Deposit</t>
        </is>
      </c>
      <c r="D94" s="4" t="n"/>
      <c r="E94" s="5" t="n"/>
      <c r="F94" s="6" t="n"/>
      <c r="G94" t="inlineStr">
        <is>
          <t>asset_management</t>
        </is>
      </c>
      <c r="H94" s="8" t="n">
        <v>1.56</v>
      </c>
      <c r="I94" s="8" t="n">
        <v>0</v>
      </c>
      <c r="J94" s="8" t="n">
        <v>1.56</v>
      </c>
      <c r="K94" t="inlineStr">
        <is>
          <t>release</t>
        </is>
      </c>
    </row>
    <row r="95">
      <c r="A95" t="inlineStr">
        <is>
          <t>146249997141</t>
        </is>
      </c>
      <c r="B95" t="inlineStr">
        <is>
          <t>2026-02-19T17:24:15.000-04:00</t>
        </is>
      </c>
      <c r="C95" t="inlineStr">
        <is>
          <t>Purchase/Expense</t>
        </is>
      </c>
      <c r="D95" s="4" t="n"/>
      <c r="E95" s="5" t="n"/>
      <c r="F95" s="6" t="n"/>
      <c r="G95" t="inlineStr">
        <is>
          <t>Openrouter, inc</t>
        </is>
      </c>
      <c r="H95" s="7" t="n">
        <v>-187.38</v>
      </c>
      <c r="I95" s="8" t="n">
        <v>0</v>
      </c>
      <c r="J95" s="7" t="n">
        <v>-187.38</v>
      </c>
      <c r="K95" t="inlineStr">
        <is>
          <t>api</t>
        </is>
      </c>
    </row>
    <row r="96">
      <c r="A96" t="inlineStr">
        <is>
          <t>146879029994</t>
        </is>
      </c>
      <c r="B96" t="inlineStr">
        <is>
          <t>2026-02-19T08:06:29.000-04:00</t>
        </is>
      </c>
      <c r="C96" t="inlineStr">
        <is>
          <t>Money Transfer</t>
        </is>
      </c>
      <c r="D96" s="4" t="n"/>
      <c r="E96" s="5" t="n"/>
      <c r="F96" s="6" t="n"/>
      <c r="G96" t="inlineStr">
        <is>
          <t>Ganancias!</t>
        </is>
      </c>
      <c r="H96" s="8" t="n">
        <v>1.89</v>
      </c>
      <c r="I96" s="8" t="n">
        <v>0</v>
      </c>
      <c r="J96" s="8" t="n">
        <v>1.89</v>
      </c>
      <c r="K96" t="inlineStr">
        <is>
          <t>api</t>
        </is>
      </c>
    </row>
    <row r="97">
      <c r="A97" t="inlineStr">
        <is>
          <t>1740011024306</t>
        </is>
      </c>
      <c r="B97" t="inlineStr">
        <is>
          <t>2026-02-19</t>
        </is>
      </c>
      <c r="C97" t="inlineStr">
        <is>
          <t>Bank Deposit</t>
        </is>
      </c>
      <c r="D97" s="4" t="n"/>
      <c r="E97" s="5" t="n"/>
      <c r="F97" s="6" t="n"/>
      <c r="G97" t="inlineStr">
        <is>
          <t>asset_management</t>
        </is>
      </c>
      <c r="H97" s="8" t="n">
        <v>1.54</v>
      </c>
      <c r="I97" s="8" t="n">
        <v>0</v>
      </c>
      <c r="J97" s="8" t="n">
        <v>1.54</v>
      </c>
      <c r="K97" t="inlineStr">
        <is>
          <t>release</t>
        </is>
      </c>
    </row>
    <row r="98">
      <c r="A98" t="inlineStr">
        <is>
          <t>146778777638</t>
        </is>
      </c>
      <c r="B98" t="inlineStr">
        <is>
          <t>2026-02-18T13:23:16.000-04:00</t>
        </is>
      </c>
      <c r="C98" t="inlineStr">
        <is>
          <t>Purchase/Expense</t>
        </is>
      </c>
      <c r="D98" s="4" t="n"/>
      <c r="E98" s="5" t="n"/>
      <c r="F98" s="6" t="n"/>
      <c r="G98" t="inlineStr">
        <is>
          <t>Notion labs, inc.</t>
        </is>
      </c>
      <c r="H98" s="7" t="n">
        <v>-240.11</v>
      </c>
      <c r="I98" s="8" t="n">
        <v>0</v>
      </c>
      <c r="J98" s="7" t="n">
        <v>-240.11</v>
      </c>
      <c r="K98" t="inlineStr">
        <is>
          <t>api</t>
        </is>
      </c>
    </row>
    <row r="99">
      <c r="A99" t="inlineStr">
        <is>
          <t>146078428167</t>
        </is>
      </c>
      <c r="B99" t="inlineStr">
        <is>
          <t>2026-02-18T12:51:23.000-04:00</t>
        </is>
      </c>
      <c r="C99" t="inlineStr">
        <is>
          <t>Purchase/Expense</t>
        </is>
      </c>
      <c r="D99" s="4" t="n"/>
      <c r="E99" s="5" t="n"/>
      <c r="F99" s="6" t="n"/>
      <c r="G99" t="inlineStr">
        <is>
          <t>Openrouter, inc</t>
        </is>
      </c>
      <c r="H99" s="7" t="n">
        <v>-186.36</v>
      </c>
      <c r="I99" s="8" t="n">
        <v>0</v>
      </c>
      <c r="J99" s="7" t="n">
        <v>-186.36</v>
      </c>
      <c r="K99" t="inlineStr">
        <is>
          <t>api</t>
        </is>
      </c>
    </row>
    <row r="100">
      <c r="A100" t="inlineStr">
        <is>
          <t>146052245309</t>
        </is>
      </c>
      <c r="B100" t="inlineStr">
        <is>
          <t>2026-02-18T09:41:03.000-04:00</t>
        </is>
      </c>
      <c r="C100" t="inlineStr">
        <is>
          <t>Money Transfer</t>
        </is>
      </c>
      <c r="D100" s="4" t="n"/>
      <c r="E100" s="5" t="n"/>
      <c r="F100" s="6" t="n"/>
      <c r="G100" t="inlineStr">
        <is>
          <t>Ganancias!</t>
        </is>
      </c>
      <c r="H100" s="8" t="n">
        <v>1.96</v>
      </c>
      <c r="I100" s="8" t="n">
        <v>0</v>
      </c>
      <c r="J100" s="8" t="n">
        <v>1.96</v>
      </c>
      <c r="K100" t="inlineStr">
        <is>
          <t>api</t>
        </is>
      </c>
    </row>
    <row r="101">
      <c r="A101" t="inlineStr">
        <is>
          <t>1739951999704</t>
        </is>
      </c>
      <c r="B101" t="inlineStr">
        <is>
          <t>2026-02-18</t>
        </is>
      </c>
      <c r="C101" t="inlineStr">
        <is>
          <t>Bank Deposit</t>
        </is>
      </c>
      <c r="D101" s="4" t="n"/>
      <c r="E101" s="5" t="n"/>
      <c r="F101" s="6" t="n"/>
      <c r="G101" t="inlineStr">
        <is>
          <t>asset_management</t>
        </is>
      </c>
      <c r="H101" s="8" t="n">
        <v>1.59</v>
      </c>
      <c r="I101" s="8" t="n">
        <v>0</v>
      </c>
      <c r="J101" s="8" t="n">
        <v>1.59</v>
      </c>
      <c r="K101" t="inlineStr">
        <is>
          <t>release</t>
        </is>
      </c>
    </row>
    <row r="102">
      <c r="A102" t="inlineStr">
        <is>
          <t>146000106179</t>
        </is>
      </c>
      <c r="B102" t="inlineStr">
        <is>
          <t>2026-02-17T21:04:36.000-04:00</t>
        </is>
      </c>
      <c r="C102" t="inlineStr">
        <is>
          <t>Purchase/Expense</t>
        </is>
      </c>
      <c r="D102" s="4" t="n"/>
      <c r="E102" s="5" t="n"/>
      <c r="F102" s="6" t="n"/>
      <c r="G102" t="inlineStr">
        <is>
          <t>Openrouter, inc</t>
        </is>
      </c>
      <c r="H102" s="7" t="n">
        <v>-186.36</v>
      </c>
      <c r="I102" s="8" t="n">
        <v>0</v>
      </c>
      <c r="J102" s="7" t="n">
        <v>-186.36</v>
      </c>
      <c r="K102" t="inlineStr">
        <is>
          <t>api</t>
        </is>
      </c>
    </row>
    <row r="103">
      <c r="A103" t="inlineStr">
        <is>
          <t>145953039431</t>
        </is>
      </c>
      <c r="B103" t="inlineStr">
        <is>
          <t>2026-02-17T13:48:05.000-04:00</t>
        </is>
      </c>
      <c r="C103" t="inlineStr">
        <is>
          <t>Purchase/Expense</t>
        </is>
      </c>
      <c r="D103" s="4" t="n"/>
      <c r="E103" s="5" t="n"/>
      <c r="F103" s="6" t="n"/>
      <c r="G103" t="inlineStr">
        <is>
          <t>Openrouter, inc</t>
        </is>
      </c>
      <c r="H103" s="7" t="n">
        <v>-186.32</v>
      </c>
      <c r="I103" s="8" t="n">
        <v>0</v>
      </c>
      <c r="J103" s="7" t="n">
        <v>-186.32</v>
      </c>
      <c r="K103" t="inlineStr">
        <is>
          <t>api</t>
        </is>
      </c>
    </row>
    <row r="104">
      <c r="A104" t="inlineStr">
        <is>
          <t>145902116521</t>
        </is>
      </c>
      <c r="B104" t="inlineStr">
        <is>
          <t>2026-02-17T03:02:19.000-04:00</t>
        </is>
      </c>
      <c r="C104" t="inlineStr">
        <is>
          <t>Money Transfer</t>
        </is>
      </c>
      <c r="D104" s="4" t="n"/>
      <c r="E104" s="5" t="n"/>
      <c r="F104" s="6" t="n"/>
      <c r="G104" t="inlineStr">
        <is>
          <t>Ganancias!</t>
        </is>
      </c>
      <c r="H104" s="8" t="n">
        <v>2.09</v>
      </c>
      <c r="I104" s="8" t="n">
        <v>0</v>
      </c>
      <c r="J104" s="8" t="n">
        <v>2.09</v>
      </c>
      <c r="K104" t="inlineStr">
        <is>
          <t>api</t>
        </is>
      </c>
    </row>
    <row r="105">
      <c r="A105" t="inlineStr">
        <is>
          <t>1739910106779</t>
        </is>
      </c>
      <c r="B105" t="inlineStr">
        <is>
          <t>2026-02-17</t>
        </is>
      </c>
      <c r="C105" t="inlineStr">
        <is>
          <t>Bank Deposit</t>
        </is>
      </c>
      <c r="D105" s="4" t="n"/>
      <c r="E105" s="5" t="n"/>
      <c r="F105" s="6" t="n"/>
      <c r="G105" t="inlineStr">
        <is>
          <t>asset_management</t>
        </is>
      </c>
      <c r="H105" s="8" t="n">
        <v>1.64</v>
      </c>
      <c r="I105" s="8" t="n">
        <v>0</v>
      </c>
      <c r="J105" s="8" t="n">
        <v>1.64</v>
      </c>
      <c r="K105" t="inlineStr">
        <is>
          <t>release</t>
        </is>
      </c>
    </row>
    <row r="106">
      <c r="A106" t="inlineStr">
        <is>
          <t>146568516784</t>
        </is>
      </c>
      <c r="B106" t="inlineStr">
        <is>
          <t>2026-02-16T19:49:11.000-04:00</t>
        </is>
      </c>
      <c r="C106" t="inlineStr">
        <is>
          <t>Purchase/Expense</t>
        </is>
      </c>
      <c r="D106" s="4" t="n"/>
      <c r="E106" s="5" t="n"/>
      <c r="F106" s="6" t="n"/>
      <c r="G106" t="inlineStr">
        <is>
          <t>Fruteria hnos salgado</t>
        </is>
      </c>
      <c r="H106" s="7" t="n">
        <v>-84.26000000000001</v>
      </c>
      <c r="I106" s="8" t="n">
        <v>0</v>
      </c>
      <c r="J106" s="7" t="n">
        <v>-84.26000000000001</v>
      </c>
      <c r="K106" t="inlineStr">
        <is>
          <t>api</t>
        </is>
      </c>
    </row>
    <row r="107">
      <c r="A107" t="inlineStr">
        <is>
          <t>145808364023</t>
        </is>
      </c>
      <c r="B107" t="inlineStr">
        <is>
          <t>2026-02-16T10:43:47.000-04:00</t>
        </is>
      </c>
      <c r="C107" t="inlineStr">
        <is>
          <t>Purchase/Expense</t>
        </is>
      </c>
      <c r="D107" s="4" t="n"/>
      <c r="E107" s="5" t="n"/>
      <c r="F107" s="6" t="n"/>
      <c r="G107" t="inlineStr">
        <is>
          <t>Fruteria hnos salgado</t>
        </is>
      </c>
      <c r="H107" s="7" t="n">
        <v>-95</v>
      </c>
      <c r="I107" s="8" t="n">
        <v>0</v>
      </c>
      <c r="J107" s="7" t="n">
        <v>-95</v>
      </c>
      <c r="K107" t="inlineStr">
        <is>
          <t>api</t>
        </is>
      </c>
    </row>
    <row r="108">
      <c r="A108" t="inlineStr">
        <is>
          <t>145778070325</t>
        </is>
      </c>
      <c r="B108" t="inlineStr">
        <is>
          <t>2026-02-16T03:08:08.000-04:00</t>
        </is>
      </c>
      <c r="C108" t="inlineStr">
        <is>
          <t>Money Transfer</t>
        </is>
      </c>
      <c r="D108" s="4" t="n"/>
      <c r="E108" s="5" t="n"/>
      <c r="F108" s="6" t="n"/>
      <c r="G108" t="inlineStr">
        <is>
          <t>Ganancias!</t>
        </is>
      </c>
      <c r="H108" s="8" t="n">
        <v>13.58</v>
      </c>
      <c r="I108" s="8" t="n">
        <v>0</v>
      </c>
      <c r="J108" s="8" t="n">
        <v>13.58</v>
      </c>
      <c r="K108" t="inlineStr">
        <is>
          <t>api</t>
        </is>
      </c>
    </row>
    <row r="109">
      <c r="A109" t="inlineStr">
        <is>
          <t>1739896425057</t>
        </is>
      </c>
      <c r="B109" t="inlineStr">
        <is>
          <t>2026-02-16</t>
        </is>
      </c>
      <c r="C109" t="inlineStr">
        <is>
          <t>Bank Deposit</t>
        </is>
      </c>
      <c r="D109" s="4" t="n"/>
      <c r="E109" s="5" t="n"/>
      <c r="F109" s="6" t="n"/>
      <c r="G109" t="inlineStr">
        <is>
          <t>asset_management</t>
        </is>
      </c>
      <c r="H109" s="8" t="n">
        <v>11.2</v>
      </c>
      <c r="I109" s="8" t="n">
        <v>0</v>
      </c>
      <c r="J109" s="8" t="n">
        <v>11.2</v>
      </c>
      <c r="K109" t="inlineStr">
        <is>
          <t>release</t>
        </is>
      </c>
    </row>
    <row r="110">
      <c r="A110" t="inlineStr">
        <is>
          <t>145838305979</t>
        </is>
      </c>
      <c r="B110" t="inlineStr">
        <is>
          <t>2026-02-16</t>
        </is>
      </c>
      <c r="C110" t="inlineStr">
        <is>
          <t>Bank Withdrawal</t>
        </is>
      </c>
      <c r="D110" s="4" t="n"/>
      <c r="E110" s="5" t="n"/>
      <c r="F110" s="6" t="n"/>
      <c r="G110" t="inlineStr">
        <is>
          <t>reserve_for_payout</t>
        </is>
      </c>
      <c r="H110" s="8" t="n">
        <v>360</v>
      </c>
      <c r="I110" s="8" t="n">
        <v>0</v>
      </c>
      <c r="J110" s="7" t="n">
        <v>-360</v>
      </c>
      <c r="K110" t="inlineStr">
        <is>
          <t>release</t>
        </is>
      </c>
    </row>
    <row r="111">
      <c r="A111" t="inlineStr">
        <is>
          <t>146336766108</t>
        </is>
      </c>
      <c r="B111" t="inlineStr">
        <is>
          <t>2026-02-14T20:19:30.000-04:00</t>
        </is>
      </c>
      <c r="C111" t="inlineStr">
        <is>
          <t>Purchase/Expense</t>
        </is>
      </c>
      <c r="D111" s="4" t="n"/>
      <c r="E111" s="5" t="n"/>
      <c r="F111" s="6" t="n"/>
      <c r="G111" t="inlineStr">
        <is>
          <t>Fruteria hnos salgado</t>
        </is>
      </c>
      <c r="H111" s="7" t="n">
        <v>-181</v>
      </c>
      <c r="I111" s="8" t="n">
        <v>0</v>
      </c>
      <c r="J111" s="7" t="n">
        <v>-181</v>
      </c>
      <c r="K111" t="inlineStr">
        <is>
          <t>api</t>
        </is>
      </c>
    </row>
    <row r="112">
      <c r="A112" t="inlineStr">
        <is>
          <t>145581419057</t>
        </is>
      </c>
      <c r="B112" t="inlineStr">
        <is>
          <t>2026-02-14T12:42:36.000-04:00</t>
        </is>
      </c>
      <c r="C112" t="inlineStr">
        <is>
          <t>Purchase/Expense</t>
        </is>
      </c>
      <c r="D112" s="4" t="n"/>
      <c r="E112" s="5" t="n"/>
      <c r="F112" s="6" t="n"/>
      <c r="G112" t="inlineStr">
        <is>
          <t>Openrouter, inc</t>
        </is>
      </c>
      <c r="H112" s="7" t="n">
        <v>-186.4</v>
      </c>
      <c r="I112" s="8" t="n">
        <v>0</v>
      </c>
      <c r="J112" s="7" t="n">
        <v>-186.4</v>
      </c>
      <c r="K112" t="inlineStr">
        <is>
          <t>api</t>
        </is>
      </c>
    </row>
    <row r="113">
      <c r="A113" t="inlineStr">
        <is>
          <t>145637431533</t>
        </is>
      </c>
      <c r="B113" t="inlineStr">
        <is>
          <t>2026-02-14</t>
        </is>
      </c>
      <c r="C113" t="inlineStr">
        <is>
          <t>Bank Withdrawal</t>
        </is>
      </c>
      <c r="D113" s="4" t="n"/>
      <c r="E113" s="5" t="n"/>
      <c r="F113" s="6" t="n"/>
      <c r="G113" t="inlineStr">
        <is>
          <t>reserve_for_payout</t>
        </is>
      </c>
      <c r="H113" s="8" t="n">
        <v>900</v>
      </c>
      <c r="I113" s="8" t="n">
        <v>0</v>
      </c>
      <c r="J113" s="7" t="n">
        <v>-900</v>
      </c>
      <c r="K113" t="inlineStr">
        <is>
          <t>release</t>
        </is>
      </c>
    </row>
    <row r="114">
      <c r="A114" t="inlineStr">
        <is>
          <t>145511790819</t>
        </is>
      </c>
      <c r="B114" t="inlineStr">
        <is>
          <t>2026-02-13T21:06:16.000-04:00</t>
        </is>
      </c>
      <c r="C114" t="inlineStr">
        <is>
          <t>Purchase/Expense</t>
        </is>
      </c>
      <c r="D114" s="4" t="n"/>
      <c r="E114" s="5" t="n"/>
      <c r="F114" s="6" t="n"/>
      <c r="G114" t="inlineStr">
        <is>
          <t>Super maryani i</t>
        </is>
      </c>
      <c r="H114" s="7" t="n">
        <v>-98.59999999999999</v>
      </c>
      <c r="I114" s="8" t="n">
        <v>0</v>
      </c>
      <c r="J114" s="7" t="n">
        <v>-98.59999999999999</v>
      </c>
      <c r="K114" t="inlineStr">
        <is>
          <t>api</t>
        </is>
      </c>
    </row>
    <row r="115">
      <c r="A115" t="inlineStr">
        <is>
          <t>146144880888</t>
        </is>
      </c>
      <c r="B115" t="inlineStr">
        <is>
          <t>2026-02-13T14:42:41.000-04:00</t>
        </is>
      </c>
      <c r="C115" t="inlineStr">
        <is>
          <t>Money Transfer</t>
        </is>
      </c>
      <c r="D115" s="4" t="n"/>
      <c r="E115" s="5" t="n"/>
      <c r="F115" s="6" t="n"/>
      <c r="G115" t="inlineStr">
        <is>
          <t>Pago Feb</t>
        </is>
      </c>
      <c r="H115" s="8" t="n">
        <v>24500</v>
      </c>
      <c r="I115" s="8" t="n">
        <v>0</v>
      </c>
      <c r="J115" s="8" t="n">
        <v>24500</v>
      </c>
      <c r="K115" t="inlineStr">
        <is>
          <t>api</t>
        </is>
      </c>
    </row>
    <row r="116">
      <c r="A116" t="inlineStr">
        <is>
          <t>145375060119</t>
        </is>
      </c>
      <c r="B116" t="inlineStr">
        <is>
          <t>2026-02-13T02:30:38.000-04:00</t>
        </is>
      </c>
      <c r="C116" t="inlineStr">
        <is>
          <t>Money Transfer</t>
        </is>
      </c>
      <c r="D116" s="4" t="n"/>
      <c r="E116" s="5" t="n"/>
      <c r="F116" s="6" t="n"/>
      <c r="G116" t="inlineStr">
        <is>
          <t>Ganancias!</t>
        </is>
      </c>
      <c r="H116" s="8" t="n">
        <v>4.55</v>
      </c>
      <c r="I116" s="8" t="n">
        <v>0</v>
      </c>
      <c r="J116" s="8" t="n">
        <v>4.55</v>
      </c>
      <c r="K116" t="inlineStr">
        <is>
          <t>api</t>
        </is>
      </c>
    </row>
    <row r="117">
      <c r="A117" t="inlineStr">
        <is>
          <t>1739852044780</t>
        </is>
      </c>
      <c r="B117" t="inlineStr">
        <is>
          <t>2026-02-13</t>
        </is>
      </c>
      <c r="C117" t="inlineStr">
        <is>
          <t>Bank Deposit</t>
        </is>
      </c>
      <c r="D117" s="4" t="n"/>
      <c r="E117" s="5" t="n"/>
      <c r="F117" s="6" t="n"/>
      <c r="G117" t="inlineStr">
        <is>
          <t>asset_management</t>
        </is>
      </c>
      <c r="H117" s="8" t="n">
        <v>3.71</v>
      </c>
      <c r="I117" s="8" t="n">
        <v>0</v>
      </c>
      <c r="J117" s="8" t="n">
        <v>3.71</v>
      </c>
      <c r="K117" t="inlineStr">
        <is>
          <t>release</t>
        </is>
      </c>
    </row>
    <row r="118">
      <c r="A118" t="inlineStr">
        <is>
          <t>145458245591</t>
        </is>
      </c>
      <c r="B118" t="inlineStr">
        <is>
          <t>2026-02-13</t>
        </is>
      </c>
      <c r="C118" t="inlineStr">
        <is>
          <t>Bank Withdrawal</t>
        </is>
      </c>
      <c r="D118" s="4" t="n"/>
      <c r="E118" s="5" t="n"/>
      <c r="F118" s="6" t="n"/>
      <c r="G118" t="inlineStr">
        <is>
          <t>reserve_for_payout</t>
        </is>
      </c>
      <c r="H118" s="8" t="n">
        <v>5000</v>
      </c>
      <c r="I118" s="8" t="n">
        <v>0</v>
      </c>
      <c r="J118" s="7" t="n">
        <v>-5000</v>
      </c>
      <c r="K118" t="inlineStr">
        <is>
          <t>release</t>
        </is>
      </c>
    </row>
    <row r="119">
      <c r="A119" t="inlineStr">
        <is>
          <t>145304815377</t>
        </is>
      </c>
      <c r="B119" t="inlineStr">
        <is>
          <t>2026-02-12T15:26:26.000-04:00</t>
        </is>
      </c>
      <c r="C119" t="inlineStr">
        <is>
          <t>Purchase/Expense</t>
        </is>
      </c>
      <c r="D119" s="4" t="n"/>
      <c r="E119" s="5" t="n"/>
      <c r="F119" s="6" t="n"/>
      <c r="G119" t="inlineStr">
        <is>
          <t>Super maryani i</t>
        </is>
      </c>
      <c r="H119" s="7" t="n">
        <v>-78.40000000000001</v>
      </c>
      <c r="I119" s="8" t="n">
        <v>0</v>
      </c>
      <c r="J119" s="7" t="n">
        <v>-78.40000000000001</v>
      </c>
      <c r="K119" t="inlineStr">
        <is>
          <t>api</t>
        </is>
      </c>
    </row>
    <row r="120">
      <c r="A120" t="inlineStr">
        <is>
          <t>145281953307</t>
        </is>
      </c>
      <c r="B120" t="inlineStr">
        <is>
          <t>2026-02-12T12:17:24.000-04:00</t>
        </is>
      </c>
      <c r="C120" t="inlineStr">
        <is>
          <t>Purchase/Expense</t>
        </is>
      </c>
      <c r="D120" s="4" t="n"/>
      <c r="E120" s="5" t="n"/>
      <c r="F120" s="6" t="n"/>
      <c r="G120" t="inlineStr">
        <is>
          <t>Pescadero</t>
        </is>
      </c>
      <c r="H120" s="7" t="n">
        <v>-109.01</v>
      </c>
      <c r="I120" s="8" t="n">
        <v>0</v>
      </c>
      <c r="J120" s="7" t="n">
        <v>-109.01</v>
      </c>
      <c r="K120" t="inlineStr">
        <is>
          <t>api</t>
        </is>
      </c>
    </row>
    <row r="121">
      <c r="A121" t="inlineStr">
        <is>
          <t>145970752530</t>
        </is>
      </c>
      <c r="B121" t="inlineStr">
        <is>
          <t>2026-02-12T11:59:08.000-04:00</t>
        </is>
      </c>
      <c r="C121" t="inlineStr">
        <is>
          <t>Purchase/Expense</t>
        </is>
      </c>
      <c r="D121" s="4" t="n"/>
      <c r="E121" s="5" t="n"/>
      <c r="F121" s="6" t="n"/>
      <c r="G121" t="inlineStr">
        <is>
          <t>Fruteria hnos salgado</t>
        </is>
      </c>
      <c r="H121" s="7" t="n">
        <v>-95</v>
      </c>
      <c r="I121" s="8" t="n">
        <v>0</v>
      </c>
      <c r="J121" s="7" t="n">
        <v>-95</v>
      </c>
      <c r="K121" t="inlineStr">
        <is>
          <t>api</t>
        </is>
      </c>
    </row>
    <row r="122">
      <c r="A122" t="inlineStr">
        <is>
          <t>145929469562</t>
        </is>
      </c>
      <c r="B122" t="inlineStr">
        <is>
          <t>2026-02-12T06:04:55.000-04:00</t>
        </is>
      </c>
      <c r="C122" t="inlineStr">
        <is>
          <t>Money Transfer</t>
        </is>
      </c>
      <c r="D122" s="4" t="n"/>
      <c r="E122" s="5" t="n"/>
      <c r="F122" s="6" t="n"/>
      <c r="G122" t="inlineStr">
        <is>
          <t>Ganancias!</t>
        </is>
      </c>
      <c r="H122" s="8" t="n">
        <v>4.44</v>
      </c>
      <c r="I122" s="8" t="n">
        <v>0</v>
      </c>
      <c r="J122" s="8" t="n">
        <v>4.44</v>
      </c>
      <c r="K122" t="inlineStr">
        <is>
          <t>api</t>
        </is>
      </c>
    </row>
    <row r="123">
      <c r="A123" t="inlineStr">
        <is>
          <t>145911944166</t>
        </is>
      </c>
      <c r="B123" t="inlineStr">
        <is>
          <t>2026-02-12T00:38:46.000-04:00</t>
        </is>
      </c>
      <c r="C123" t="inlineStr">
        <is>
          <t>Money Transfer</t>
        </is>
      </c>
      <c r="D123" s="4" t="n"/>
      <c r="E123" s="5" t="n"/>
      <c r="F123" s="6" t="n"/>
      <c r="G123" t="inlineStr">
        <is>
          <t>Pago Pizza</t>
        </is>
      </c>
      <c r="H123" s="8" t="n">
        <v>420</v>
      </c>
      <c r="I123" s="8" t="n">
        <v>0</v>
      </c>
      <c r="J123" s="8" t="n">
        <v>420</v>
      </c>
      <c r="K123" t="inlineStr">
        <is>
          <t>api</t>
        </is>
      </c>
    </row>
    <row r="124">
      <c r="A124" t="inlineStr">
        <is>
          <t>1739803239498</t>
        </is>
      </c>
      <c r="B124" t="inlineStr">
        <is>
          <t>2026-02-12</t>
        </is>
      </c>
      <c r="C124" t="inlineStr">
        <is>
          <t>Bank Deposit</t>
        </is>
      </c>
      <c r="D124" s="4" t="n"/>
      <c r="E124" s="5" t="n"/>
      <c r="F124" s="6" t="n"/>
      <c r="G124" t="inlineStr">
        <is>
          <t>asset_management</t>
        </is>
      </c>
      <c r="H124" s="8" t="n">
        <v>3.81</v>
      </c>
      <c r="I124" s="8" t="n">
        <v>0</v>
      </c>
      <c r="J124" s="8" t="n">
        <v>3.81</v>
      </c>
      <c r="K124" t="inlineStr">
        <is>
          <t>release</t>
        </is>
      </c>
    </row>
    <row r="125">
      <c r="A125" t="inlineStr">
        <is>
          <t>145774722390</t>
        </is>
      </c>
      <c r="B125" t="inlineStr">
        <is>
          <t>2026-02-11T05:08:39.000-04:00</t>
        </is>
      </c>
      <c r="C125" t="inlineStr">
        <is>
          <t>Money Transfer</t>
        </is>
      </c>
      <c r="D125" s="4" t="n"/>
      <c r="E125" s="5" t="n"/>
      <c r="F125" s="6" t="n"/>
      <c r="G125" t="inlineStr">
        <is>
          <t>Ganancias!</t>
        </is>
      </c>
      <c r="H125" s="8" t="n">
        <v>4.58</v>
      </c>
      <c r="I125" s="8" t="n">
        <v>0</v>
      </c>
      <c r="J125" s="8" t="n">
        <v>4.58</v>
      </c>
      <c r="K125" t="inlineStr">
        <is>
          <t>api</t>
        </is>
      </c>
    </row>
    <row r="126">
      <c r="A126" t="inlineStr">
        <is>
          <t>1739740479992</t>
        </is>
      </c>
      <c r="B126" t="inlineStr">
        <is>
          <t>2026-02-11</t>
        </is>
      </c>
      <c r="C126" t="inlineStr">
        <is>
          <t>Bank Deposit</t>
        </is>
      </c>
      <c r="D126" s="4" t="n"/>
      <c r="E126" s="5" t="n"/>
      <c r="F126" s="6" t="n"/>
      <c r="G126" t="inlineStr">
        <is>
          <t>asset_management</t>
        </is>
      </c>
      <c r="H126" s="8" t="n">
        <v>3.68</v>
      </c>
      <c r="I126" s="8" t="n">
        <v>0</v>
      </c>
      <c r="J126" s="8" t="n">
        <v>3.68</v>
      </c>
      <c r="K126" t="inlineStr">
        <is>
          <t>release</t>
        </is>
      </c>
    </row>
    <row r="127">
      <c r="A127" t="inlineStr">
        <is>
          <t>144978670549</t>
        </is>
      </c>
      <c r="B127" t="inlineStr">
        <is>
          <t>2026-02-10T12:02:48.000-04:00</t>
        </is>
      </c>
      <c r="C127" t="inlineStr">
        <is>
          <t>Purchase/Expense</t>
        </is>
      </c>
      <c r="D127" s="4" t="n"/>
      <c r="E127" s="5" t="n"/>
      <c r="F127" s="6" t="n"/>
      <c r="G127" t="inlineStr">
        <is>
          <t>Ztl*comunacafe</t>
        </is>
      </c>
      <c r="H127" s="7" t="n">
        <v>-55</v>
      </c>
      <c r="I127" s="8" t="n">
        <v>0</v>
      </c>
      <c r="J127" s="7" t="n">
        <v>-55</v>
      </c>
      <c r="K127" t="inlineStr">
        <is>
          <t>api</t>
        </is>
      </c>
    </row>
    <row r="128">
      <c r="A128" t="inlineStr">
        <is>
          <t>144963352501</t>
        </is>
      </c>
      <c r="B128" t="inlineStr">
        <is>
          <t>2026-02-10T10:24:21.000-04:00</t>
        </is>
      </c>
      <c r="C128" t="inlineStr">
        <is>
          <t>Purchase/Expense</t>
        </is>
      </c>
      <c r="D128" s="4" t="n"/>
      <c r="E128" s="5" t="n"/>
      <c r="F128" s="6" t="n"/>
      <c r="G128" t="inlineStr">
        <is>
          <t>Sqsp* websit#221656793</t>
        </is>
      </c>
      <c r="H128" s="7" t="n">
        <v>-250</v>
      </c>
      <c r="I128" s="8" t="n">
        <v>0</v>
      </c>
      <c r="J128" s="7" t="n">
        <v>-250</v>
      </c>
      <c r="K128" t="inlineStr">
        <is>
          <t>api</t>
        </is>
      </c>
    </row>
    <row r="129">
      <c r="A129" t="inlineStr">
        <is>
          <t>144922849689</t>
        </is>
      </c>
      <c r="B129" t="inlineStr">
        <is>
          <t>2026-02-10T02:43:05.000-04:00</t>
        </is>
      </c>
      <c r="C129" t="inlineStr">
        <is>
          <t>Money Transfer</t>
        </is>
      </c>
      <c r="D129" s="4" t="n"/>
      <c r="E129" s="5" t="n"/>
      <c r="F129" s="6" t="n"/>
      <c r="G129" t="inlineStr">
        <is>
          <t>Ganancias!</t>
        </is>
      </c>
      <c r="H129" s="8" t="n">
        <v>4.52</v>
      </c>
      <c r="I129" s="8" t="n">
        <v>0</v>
      </c>
      <c r="J129" s="8" t="n">
        <v>4.52</v>
      </c>
      <c r="K129" t="inlineStr">
        <is>
          <t>api</t>
        </is>
      </c>
    </row>
    <row r="130">
      <c r="A130" t="inlineStr">
        <is>
          <t>1739667361669</t>
        </is>
      </c>
      <c r="B130" t="inlineStr">
        <is>
          <t>2026-02-10</t>
        </is>
      </c>
      <c r="C130" t="inlineStr">
        <is>
          <t>Bank Deposit</t>
        </is>
      </c>
      <c r="D130" s="4" t="n"/>
      <c r="E130" s="5" t="n"/>
      <c r="F130" s="6" t="n"/>
      <c r="G130" t="inlineStr">
        <is>
          <t>asset_management</t>
        </is>
      </c>
      <c r="H130" s="8" t="n">
        <v>3.72</v>
      </c>
      <c r="I130" s="8" t="n">
        <v>0</v>
      </c>
      <c r="J130" s="8" t="n">
        <v>3.72</v>
      </c>
      <c r="K130" t="inlineStr">
        <is>
          <t>release</t>
        </is>
      </c>
    </row>
    <row r="131">
      <c r="A131" t="inlineStr">
        <is>
          <t>144911148243</t>
        </is>
      </c>
      <c r="B131" t="inlineStr">
        <is>
          <t>2026-02-09T22:51:48.000-04:00</t>
        </is>
      </c>
      <c r="C131" t="inlineStr">
        <is>
          <t>Purchase/Expense</t>
        </is>
      </c>
      <c r="D131" s="4" t="n"/>
      <c r="E131" s="5" t="n"/>
      <c r="F131" s="6" t="n"/>
      <c r="G131" t="inlineStr">
        <is>
          <t>Mit*transp volaris</t>
        </is>
      </c>
      <c r="H131" s="7" t="n">
        <v>-2164</v>
      </c>
      <c r="I131" s="8" t="n">
        <v>0</v>
      </c>
      <c r="J131" s="7" t="n">
        <v>-2164</v>
      </c>
      <c r="K131" t="inlineStr">
        <is>
          <t>api</t>
        </is>
      </c>
    </row>
    <row r="132">
      <c r="A132" t="inlineStr">
        <is>
          <t>144880501971</t>
        </is>
      </c>
      <c r="B132" t="inlineStr">
        <is>
          <t>2026-02-09T18:32:45.000-04:00</t>
        </is>
      </c>
      <c r="C132" t="inlineStr">
        <is>
          <t>Purchase/Expense</t>
        </is>
      </c>
      <c r="D132" s="4" t="n"/>
      <c r="E132" s="5" t="n"/>
      <c r="F132" s="6" t="n"/>
      <c r="G132" t="inlineStr">
        <is>
          <t>Mercadopago *pollosel</t>
        </is>
      </c>
      <c r="H132" s="7" t="n">
        <v>-220</v>
      </c>
      <c r="I132" s="8" t="n">
        <v>0</v>
      </c>
      <c r="J132" s="7" t="n">
        <v>-220</v>
      </c>
      <c r="K132" t="inlineStr">
        <is>
          <t>api</t>
        </is>
      </c>
    </row>
    <row r="133">
      <c r="A133" t="inlineStr">
        <is>
          <t>145567329046</t>
        </is>
      </c>
      <c r="B133" t="inlineStr">
        <is>
          <t>2026-02-09T18:23:45.000-04:00</t>
        </is>
      </c>
      <c r="C133" t="inlineStr">
        <is>
          <t>Purchase/Expense</t>
        </is>
      </c>
      <c r="D133" s="4" t="n"/>
      <c r="E133" s="5" t="n"/>
      <c r="F133" s="6" t="n"/>
      <c r="G133" t="inlineStr">
        <is>
          <t>Fruteria hnos salgado</t>
        </is>
      </c>
      <c r="H133" s="7" t="n">
        <v>-177.02</v>
      </c>
      <c r="I133" s="8" t="n">
        <v>0</v>
      </c>
      <c r="J133" s="7" t="n">
        <v>-177.02</v>
      </c>
      <c r="K133" t="inlineStr">
        <is>
          <t>api</t>
        </is>
      </c>
    </row>
    <row r="134">
      <c r="A134" t="inlineStr">
        <is>
          <t>145519701650</t>
        </is>
      </c>
      <c r="B134" t="inlineStr">
        <is>
          <t>2026-02-09T12:30:48.000-04:00</t>
        </is>
      </c>
      <c r="C134" t="inlineStr">
        <is>
          <t>Purchase/Expense</t>
        </is>
      </c>
      <c r="D134" s="4" t="n"/>
      <c r="E134" s="5" t="n"/>
      <c r="F134" s="6" t="n"/>
      <c r="G134" t="inlineStr">
        <is>
          <t>Gasol t santos</t>
        </is>
      </c>
      <c r="H134" s="7" t="n">
        <v>-970.11</v>
      </c>
      <c r="I134" s="8" t="n">
        <v>0</v>
      </c>
      <c r="J134" s="7" t="n">
        <v>-970.11</v>
      </c>
      <c r="K134" t="inlineStr">
        <is>
          <t>api</t>
        </is>
      </c>
    </row>
    <row r="135">
      <c r="A135" t="inlineStr">
        <is>
          <t>145490419980</t>
        </is>
      </c>
      <c r="B135" t="inlineStr">
        <is>
          <t>2026-02-09T09:17:53.000-04:00</t>
        </is>
      </c>
      <c r="C135" t="inlineStr">
        <is>
          <t>Money Transfer</t>
        </is>
      </c>
      <c r="D135" s="4" t="n"/>
      <c r="E135" s="5" t="n"/>
      <c r="F135" s="6" t="n"/>
      <c r="G135" t="inlineStr">
        <is>
          <t>Ganancias!</t>
        </is>
      </c>
      <c r="H135" s="8" t="n">
        <v>13.85</v>
      </c>
      <c r="I135" s="8" t="n">
        <v>0</v>
      </c>
      <c r="J135" s="8" t="n">
        <v>13.85</v>
      </c>
      <c r="K135" t="inlineStr">
        <is>
          <t>api</t>
        </is>
      </c>
    </row>
    <row r="136">
      <c r="A136" t="inlineStr">
        <is>
          <t>1739595587589</t>
        </is>
      </c>
      <c r="B136" t="inlineStr">
        <is>
          <t>2026-02-09</t>
        </is>
      </c>
      <c r="C136" t="inlineStr">
        <is>
          <t>Bank Deposit</t>
        </is>
      </c>
      <c r="D136" s="4" t="n"/>
      <c r="E136" s="5" t="n"/>
      <c r="F136" s="6" t="n"/>
      <c r="G136" t="inlineStr">
        <is>
          <t>asset_management</t>
        </is>
      </c>
      <c r="H136" s="8" t="n">
        <v>10.91</v>
      </c>
      <c r="I136" s="8" t="n">
        <v>0</v>
      </c>
      <c r="J136" s="8" t="n">
        <v>10.91</v>
      </c>
      <c r="K136" t="inlineStr">
        <is>
          <t>release</t>
        </is>
      </c>
    </row>
    <row r="137">
      <c r="A137" t="inlineStr">
        <is>
          <t>145601072664</t>
        </is>
      </c>
      <c r="B137" t="inlineStr">
        <is>
          <t>2026-02-09</t>
        </is>
      </c>
      <c r="C137" t="inlineStr">
        <is>
          <t>Bank Withdrawal</t>
        </is>
      </c>
      <c r="D137" s="4" t="n"/>
      <c r="E137" s="5" t="n"/>
      <c r="F137" s="6" t="n"/>
      <c r="G137" t="inlineStr">
        <is>
          <t>reserve_for_payout</t>
        </is>
      </c>
      <c r="H137" s="8" t="n">
        <v>27250</v>
      </c>
      <c r="I137" s="8" t="n">
        <v>0</v>
      </c>
      <c r="J137" s="7" t="n">
        <v>-27250</v>
      </c>
      <c r="K137" t="inlineStr">
        <is>
          <t>release</t>
        </is>
      </c>
    </row>
    <row r="138">
      <c r="A138" t="inlineStr">
        <is>
          <t>145438875944</t>
        </is>
      </c>
      <c r="B138" t="inlineStr">
        <is>
          <t>2026-02-08T21:12:41.000-04:00</t>
        </is>
      </c>
      <c r="C138" t="inlineStr">
        <is>
          <t>Purchase/Expense</t>
        </is>
      </c>
      <c r="D138" s="4" t="n"/>
      <c r="E138" s="5" t="n"/>
      <c r="F138" s="6" t="n"/>
      <c r="G138" t="inlineStr">
        <is>
          <t>Openrouter, inc</t>
        </is>
      </c>
      <c r="H138" s="7" t="n">
        <v>-187.7</v>
      </c>
      <c r="I138" s="8" t="n">
        <v>0</v>
      </c>
      <c r="J138" s="7" t="n">
        <v>-187.7</v>
      </c>
      <c r="K138" t="inlineStr">
        <is>
          <t>api</t>
        </is>
      </c>
    </row>
    <row r="139">
      <c r="A139" t="inlineStr">
        <is>
          <t>144747319411</t>
        </is>
      </c>
      <c r="B139" t="inlineStr">
        <is>
          <t>2026-02-08T20:26:17.000-04:00</t>
        </is>
      </c>
      <c r="C139" t="inlineStr">
        <is>
          <t>Purchase/Expense</t>
        </is>
      </c>
      <c r="D139" s="4" t="n"/>
      <c r="E139" s="5" t="n"/>
      <c r="F139" s="6" t="n"/>
      <c r="G139" t="inlineStr">
        <is>
          <t>Fruteria hnos salgado</t>
        </is>
      </c>
      <c r="H139" s="7" t="n">
        <v>-212.52</v>
      </c>
      <c r="I139" s="8" t="n">
        <v>0</v>
      </c>
      <c r="J139" s="7" t="n">
        <v>-212.52</v>
      </c>
      <c r="K139" t="inlineStr">
        <is>
          <t>api</t>
        </is>
      </c>
    </row>
    <row r="140">
      <c r="A140" t="inlineStr">
        <is>
          <t>144736596239</t>
        </is>
      </c>
      <c r="B140" t="inlineStr">
        <is>
          <t>2026-02-08T18:55:07.000-04:00</t>
        </is>
      </c>
      <c r="C140" t="inlineStr">
        <is>
          <t>Purchase/Expense</t>
        </is>
      </c>
      <c r="D140" s="4" t="n"/>
      <c r="E140" s="5" t="n"/>
      <c r="F140" s="6" t="n"/>
      <c r="G140" t="inlineStr">
        <is>
          <t>San jose parknfly</t>
        </is>
      </c>
      <c r="H140" s="7" t="n">
        <v>-560.28</v>
      </c>
      <c r="I140" s="8" t="n">
        <v>0</v>
      </c>
      <c r="J140" s="7" t="n">
        <v>-560.28</v>
      </c>
      <c r="K140" t="inlineStr">
        <is>
          <t>api</t>
        </is>
      </c>
    </row>
    <row r="141">
      <c r="A141" t="inlineStr">
        <is>
          <t>144715635267</t>
        </is>
      </c>
      <c r="B141" t="inlineStr">
        <is>
          <t>2026-02-08T15:27:46.000-04:00</t>
        </is>
      </c>
      <c r="C141" t="inlineStr">
        <is>
          <t>Purchase/Expense</t>
        </is>
      </c>
      <c r="D141" s="4" t="n"/>
      <c r="E141" s="5" t="n"/>
      <c r="F141" s="6" t="n"/>
      <c r="G141" t="inlineStr">
        <is>
          <t>Aeromarket apto tijuan</t>
        </is>
      </c>
      <c r="H141" s="7" t="n">
        <v>-50</v>
      </c>
      <c r="I141" s="8" t="n">
        <v>0</v>
      </c>
      <c r="J141" s="7" t="n">
        <v>-50</v>
      </c>
      <c r="K141" t="inlineStr">
        <is>
          <t>api</t>
        </is>
      </c>
    </row>
    <row r="142">
      <c r="A142" t="inlineStr">
        <is>
          <t>144632618187</t>
        </is>
      </c>
      <c r="B142" t="inlineStr">
        <is>
          <t>2026-02-07T20:08:41.000-04:00</t>
        </is>
      </c>
      <c r="C142" t="inlineStr">
        <is>
          <t>Purchase/Expense</t>
        </is>
      </c>
      <c r="D142" s="4" t="n"/>
      <c r="E142" s="5" t="n"/>
      <c r="F142" s="6" t="n"/>
      <c r="G142" t="inlineStr">
        <is>
          <t>Sq *lobster west, inc.</t>
        </is>
      </c>
      <c r="H142" s="7" t="n">
        <v>-1390.13</v>
      </c>
      <c r="I142" s="8" t="n">
        <v>0</v>
      </c>
      <c r="J142" s="7" t="n">
        <v>-1390.13</v>
      </c>
      <c r="K142" t="inlineStr">
        <is>
          <t>api</t>
        </is>
      </c>
    </row>
    <row r="143">
      <c r="A143" t="inlineStr">
        <is>
          <t>144578021095</t>
        </is>
      </c>
      <c r="B143" t="inlineStr">
        <is>
          <t>2026-02-07</t>
        </is>
      </c>
      <c r="C143" t="inlineStr">
        <is>
          <t>Bank Withdrawal</t>
        </is>
      </c>
      <c r="D143" s="4" t="n"/>
      <c r="E143" s="5" t="n"/>
      <c r="F143" s="6" t="n"/>
      <c r="G143" t="inlineStr">
        <is>
          <t>reserve_for_payout</t>
        </is>
      </c>
      <c r="H143" s="8" t="n">
        <v>2000</v>
      </c>
      <c r="I143" s="8" t="n">
        <v>0</v>
      </c>
      <c r="J143" s="7" t="n">
        <v>-2000</v>
      </c>
      <c r="K143" t="inlineStr">
        <is>
          <t>release</t>
        </is>
      </c>
    </row>
    <row r="144">
      <c r="A144" t="inlineStr">
        <is>
          <t>144496684461</t>
        </is>
      </c>
      <c r="B144" t="inlineStr">
        <is>
          <t>2026-02-06T20:54:29.000-04:00</t>
        </is>
      </c>
      <c r="C144" t="inlineStr">
        <is>
          <t>Purchase/Expense</t>
        </is>
      </c>
      <c r="D144" s="4" t="n"/>
      <c r="E144" s="5" t="n"/>
      <c r="F144" s="6" t="n"/>
      <c r="G144" t="inlineStr">
        <is>
          <t>Tst* champion lanes</t>
        </is>
      </c>
      <c r="H144" s="7" t="n">
        <v>-522.42</v>
      </c>
      <c r="I144" s="8" t="n">
        <v>0</v>
      </c>
      <c r="J144" s="7" t="n">
        <v>-522.42</v>
      </c>
      <c r="K144" t="inlineStr">
        <is>
          <t>api</t>
        </is>
      </c>
    </row>
    <row r="145">
      <c r="A145" t="inlineStr">
        <is>
          <t>144432831761</t>
        </is>
      </c>
      <c r="B145" t="inlineStr">
        <is>
          <t>2026-02-06T14:34:14.000-04:00</t>
        </is>
      </c>
      <c r="C145" t="inlineStr">
        <is>
          <t>Account Funding (Deposit)</t>
        </is>
      </c>
      <c r="D145" s="4" t="n"/>
      <c r="E145" s="5" t="n"/>
      <c r="F145" s="6" t="n"/>
      <c r="G145" t="inlineStr">
        <is>
          <t>Bank Transfer</t>
        </is>
      </c>
      <c r="H145" s="8" t="n">
        <v>15950</v>
      </c>
      <c r="I145" s="8" t="n">
        <v>0</v>
      </c>
      <c r="J145" s="8" t="n">
        <v>15950</v>
      </c>
      <c r="K145" t="inlineStr">
        <is>
          <t>api</t>
        </is>
      </c>
    </row>
    <row r="146">
      <c r="A146" t="inlineStr">
        <is>
          <t>145097262518</t>
        </is>
      </c>
      <c r="B146" t="inlineStr">
        <is>
          <t>2026-02-06T12:11:14.000-04:00</t>
        </is>
      </c>
      <c r="C146" t="inlineStr">
        <is>
          <t>Purchase/Expense</t>
        </is>
      </c>
      <c r="D146" s="4" t="n"/>
      <c r="E146" s="5" t="n"/>
      <c r="F146" s="6" t="n"/>
      <c r="G146" t="inlineStr">
        <is>
          <t>Coronado golf course</t>
        </is>
      </c>
      <c r="H146" s="7" t="n">
        <v>-262.32</v>
      </c>
      <c r="I146" s="8" t="n">
        <v>0</v>
      </c>
      <c r="J146" s="7" t="n">
        <v>-262.32</v>
      </c>
      <c r="K146" t="inlineStr">
        <is>
          <t>api</t>
        </is>
      </c>
    </row>
    <row r="147">
      <c r="A147" t="inlineStr">
        <is>
          <t>145052565570</t>
        </is>
      </c>
      <c r="B147" t="inlineStr">
        <is>
          <t>2026-02-06T06:45:08.000-04:00</t>
        </is>
      </c>
      <c r="C147" t="inlineStr">
        <is>
          <t>Money Transfer</t>
        </is>
      </c>
      <c r="D147" s="4" t="n"/>
      <c r="E147" s="5" t="n"/>
      <c r="F147" s="6" t="n"/>
      <c r="G147" t="inlineStr">
        <is>
          <t>Ganancias!</t>
        </is>
      </c>
      <c r="H147" s="8" t="n">
        <v>0.16</v>
      </c>
      <c r="I147" s="8" t="n">
        <v>0</v>
      </c>
      <c r="J147" s="8" t="n">
        <v>0.16</v>
      </c>
      <c r="K147" t="inlineStr">
        <is>
          <t>api</t>
        </is>
      </c>
    </row>
    <row r="148">
      <c r="A148" t="inlineStr">
        <is>
          <t>1739532859735</t>
        </is>
      </c>
      <c r="B148" t="inlineStr">
        <is>
          <t>2026-02-06</t>
        </is>
      </c>
      <c r="C148" t="inlineStr">
        <is>
          <t>Bank Deposit</t>
        </is>
      </c>
      <c r="D148" s="4" t="n"/>
      <c r="E148" s="5" t="n"/>
      <c r="F148" s="6" t="n"/>
      <c r="G148" t="inlineStr">
        <is>
          <t>asset_management</t>
        </is>
      </c>
      <c r="H148" s="8" t="n">
        <v>0.13</v>
      </c>
      <c r="I148" s="8" t="n">
        <v>0</v>
      </c>
      <c r="J148" s="8" t="n">
        <v>0.13</v>
      </c>
      <c r="K148" t="inlineStr">
        <is>
          <t>release</t>
        </is>
      </c>
    </row>
    <row r="149">
      <c r="A149" t="inlineStr">
        <is>
          <t>145009556858</t>
        </is>
      </c>
      <c r="B149" t="inlineStr">
        <is>
          <t>2026-02-05T20:32:19.000-04:00</t>
        </is>
      </c>
      <c r="C149" t="inlineStr">
        <is>
          <t>Purchase/Expense</t>
        </is>
      </c>
      <c r="D149" s="4" t="n"/>
      <c r="E149" s="5" t="n"/>
      <c r="F149" s="6" t="n"/>
      <c r="G149" t="inlineStr">
        <is>
          <t>In-n-out national ci</t>
        </is>
      </c>
      <c r="H149" s="7" t="n">
        <v>-83.73</v>
      </c>
      <c r="I149" s="8" t="n">
        <v>0</v>
      </c>
      <c r="J149" s="7" t="n">
        <v>-83.73</v>
      </c>
      <c r="K149" t="inlineStr">
        <is>
          <t>api</t>
        </is>
      </c>
    </row>
    <row r="150">
      <c r="A150" t="inlineStr">
        <is>
          <t>144321938533</t>
        </is>
      </c>
      <c r="B150" t="inlineStr">
        <is>
          <t>2026-02-05T20:07:27.000-04:00</t>
        </is>
      </c>
      <c r="C150" t="inlineStr">
        <is>
          <t>Purchase/Expense</t>
        </is>
      </c>
      <c r="D150" s="4" t="n"/>
      <c r="E150" s="5" t="n"/>
      <c r="F150" s="6" t="n"/>
      <c r="G150" t="inlineStr">
        <is>
          <t>In-n-out national ci</t>
        </is>
      </c>
      <c r="H150" s="7" t="n">
        <v>-351.79</v>
      </c>
      <c r="I150" s="8" t="n">
        <v>0</v>
      </c>
      <c r="J150" s="7" t="n">
        <v>-351.79</v>
      </c>
      <c r="K150" t="inlineStr">
        <is>
          <t>api</t>
        </is>
      </c>
    </row>
    <row r="151">
      <c r="A151" t="inlineStr">
        <is>
          <t>144276043841</t>
        </is>
      </c>
      <c r="B151" t="inlineStr">
        <is>
          <t>2026-02-05T15:07:30.000-04:00</t>
        </is>
      </c>
      <c r="C151" t="inlineStr">
        <is>
          <t>Purchase/Expense</t>
        </is>
      </c>
      <c r="D151" s="4" t="n"/>
      <c r="E151" s="5" t="n"/>
      <c r="F151" s="6" t="n"/>
      <c r="G151" t="inlineStr">
        <is>
          <t>Dominos pizza aeropuer</t>
        </is>
      </c>
      <c r="H151" s="7" t="n">
        <v>-152.9</v>
      </c>
      <c r="I151" s="8" t="n">
        <v>0</v>
      </c>
      <c r="J151" s="7" t="n">
        <v>-152.9</v>
      </c>
      <c r="K151" t="inlineStr">
        <is>
          <t>api</t>
        </is>
      </c>
    </row>
    <row r="152">
      <c r="A152" t="inlineStr">
        <is>
          <t>144241872839</t>
        </is>
      </c>
      <c r="B152" t="inlineStr">
        <is>
          <t>2026-02-05T10:51:46.000-04:00</t>
        </is>
      </c>
      <c r="C152" t="inlineStr">
        <is>
          <t>Account Funding (Deposit)</t>
        </is>
      </c>
      <c r="D152" s="4" t="n"/>
      <c r="E152" s="5" t="n"/>
      <c r="F152" s="6" t="n"/>
      <c r="G152" t="inlineStr">
        <is>
          <t>Bank Transfer</t>
        </is>
      </c>
      <c r="H152" s="8" t="n">
        <v>65000</v>
      </c>
      <c r="I152" s="8" t="n">
        <v>0</v>
      </c>
      <c r="J152" s="8" t="n">
        <v>65000</v>
      </c>
      <c r="K152" t="inlineStr">
        <is>
          <t>api</t>
        </is>
      </c>
    </row>
    <row r="153">
      <c r="A153" t="inlineStr">
        <is>
          <t>144198336891</t>
        </is>
      </c>
      <c r="B153" t="inlineStr">
        <is>
          <t>2026-02-05T02:47:13.000-04:00</t>
        </is>
      </c>
      <c r="C153" t="inlineStr">
        <is>
          <t>Money Transfer</t>
        </is>
      </c>
      <c r="D153" s="4" t="n"/>
      <c r="E153" s="5" t="n"/>
      <c r="F153" s="6" t="n"/>
      <c r="G153" t="inlineStr">
        <is>
          <t>Ganancias!</t>
        </is>
      </c>
      <c r="H153" s="8" t="n">
        <v>0.52</v>
      </c>
      <c r="I153" s="8" t="n">
        <v>0</v>
      </c>
      <c r="J153" s="8" t="n">
        <v>0.52</v>
      </c>
      <c r="K153" t="inlineStr">
        <is>
          <t>api</t>
        </is>
      </c>
    </row>
    <row r="154">
      <c r="A154" t="inlineStr">
        <is>
          <t>1739470833236</t>
        </is>
      </c>
      <c r="B154" t="inlineStr">
        <is>
          <t>2026-02-05</t>
        </is>
      </c>
      <c r="C154" t="inlineStr">
        <is>
          <t>Bank Deposit</t>
        </is>
      </c>
      <c r="D154" s="4" t="n"/>
      <c r="E154" s="5" t="n"/>
      <c r="F154" s="6" t="n"/>
      <c r="G154" t="inlineStr">
        <is>
          <t>asset_management</t>
        </is>
      </c>
      <c r="H154" s="8" t="n">
        <v>0.49</v>
      </c>
      <c r="I154" s="8" t="n">
        <v>0</v>
      </c>
      <c r="J154" s="8" t="n">
        <v>0.49</v>
      </c>
      <c r="K154" t="inlineStr">
        <is>
          <t>release</t>
        </is>
      </c>
    </row>
    <row r="155">
      <c r="A155" t="inlineStr">
        <is>
          <t>144942926106</t>
        </is>
      </c>
      <c r="B155" t="inlineStr">
        <is>
          <t>2026-02-05</t>
        </is>
      </c>
      <c r="C155" t="inlineStr">
        <is>
          <t>Bank Withdrawal</t>
        </is>
      </c>
      <c r="D155" s="4" t="n"/>
      <c r="E155" s="5" t="n"/>
      <c r="F155" s="6" t="n"/>
      <c r="G155" t="inlineStr">
        <is>
          <t>reserve_for_payout</t>
        </is>
      </c>
      <c r="H155" s="8" t="n">
        <v>2150</v>
      </c>
      <c r="I155" s="8" t="n">
        <v>0</v>
      </c>
      <c r="J155" s="7" t="n">
        <v>-2150</v>
      </c>
      <c r="K155" t="inlineStr">
        <is>
          <t>release</t>
        </is>
      </c>
    </row>
    <row r="156">
      <c r="A156" t="inlineStr">
        <is>
          <t>144801663394</t>
        </is>
      </c>
      <c r="B156" t="inlineStr">
        <is>
          <t>2026-02-04T13:38:17.000-04:00</t>
        </is>
      </c>
      <c r="C156" t="inlineStr">
        <is>
          <t>Purchase/Expense</t>
        </is>
      </c>
      <c r="D156" s="4" t="n"/>
      <c r="E156" s="5" t="n"/>
      <c r="F156" s="6" t="n"/>
      <c r="G156" t="inlineStr">
        <is>
          <t>Str*water ways baja</t>
        </is>
      </c>
      <c r="H156" s="7" t="n">
        <v>-200</v>
      </c>
      <c r="I156" s="8" t="n">
        <v>0</v>
      </c>
      <c r="J156" s="7" t="n">
        <v>-200</v>
      </c>
      <c r="K156" t="inlineStr">
        <is>
          <t>api</t>
        </is>
      </c>
    </row>
    <row r="157">
      <c r="A157" t="inlineStr">
        <is>
          <t>144737946984</t>
        </is>
      </c>
      <c r="B157" t="inlineStr">
        <is>
          <t>2026-02-04T02:55:05.000-04:00</t>
        </is>
      </c>
      <c r="C157" t="inlineStr">
        <is>
          <t>Money Transfer</t>
        </is>
      </c>
      <c r="D157" s="4" t="n"/>
      <c r="E157" s="5" t="n"/>
      <c r="F157" s="6" t="n"/>
      <c r="G157" t="inlineStr">
        <is>
          <t>Ganancias!</t>
        </is>
      </c>
      <c r="H157" s="8" t="n">
        <v>0.99</v>
      </c>
      <c r="I157" s="8" t="n">
        <v>0</v>
      </c>
      <c r="J157" s="8" t="n">
        <v>0.99</v>
      </c>
      <c r="K157" t="inlineStr">
        <is>
          <t>api</t>
        </is>
      </c>
    </row>
    <row r="158">
      <c r="A158" t="inlineStr">
        <is>
          <t>1739410739843</t>
        </is>
      </c>
      <c r="B158" t="inlineStr">
        <is>
          <t>2026-02-04</t>
        </is>
      </c>
      <c r="C158" t="inlineStr">
        <is>
          <t>Bank Deposit</t>
        </is>
      </c>
      <c r="D158" s="4" t="n"/>
      <c r="E158" s="5" t="n"/>
      <c r="F158" s="6" t="n"/>
      <c r="G158" t="inlineStr">
        <is>
          <t>asset_management</t>
        </is>
      </c>
      <c r="H158" s="8" t="n">
        <v>0.96</v>
      </c>
      <c r="I158" s="8" t="n">
        <v>0</v>
      </c>
      <c r="J158" s="8" t="n">
        <v>0.96</v>
      </c>
      <c r="K158" t="inlineStr">
        <is>
          <t>release</t>
        </is>
      </c>
    </row>
    <row r="159">
      <c r="A159" t="inlineStr">
        <is>
          <t>144798767764</t>
        </is>
      </c>
      <c r="B159" t="inlineStr">
        <is>
          <t>2026-02-04</t>
        </is>
      </c>
      <c r="C159" t="inlineStr">
        <is>
          <t>Bank Withdrawal</t>
        </is>
      </c>
      <c r="D159" s="4" t="n"/>
      <c r="E159" s="5" t="n"/>
      <c r="F159" s="6" t="n"/>
      <c r="G159" t="inlineStr">
        <is>
          <t>reserve_for_payout</t>
        </is>
      </c>
      <c r="H159" s="8" t="n">
        <v>2000</v>
      </c>
      <c r="I159" s="8" t="n">
        <v>0</v>
      </c>
      <c r="J159" s="7" t="n">
        <v>-2000</v>
      </c>
      <c r="K159" t="inlineStr">
        <is>
          <t>release</t>
        </is>
      </c>
    </row>
    <row r="160">
      <c r="A160" t="inlineStr">
        <is>
          <t>144023821061</t>
        </is>
      </c>
      <c r="B160" t="inlineStr">
        <is>
          <t>2026-02-03T19:40:10.000-04:00</t>
        </is>
      </c>
      <c r="C160" t="inlineStr">
        <is>
          <t>Purchase/Expense</t>
        </is>
      </c>
      <c r="D160" s="4" t="n"/>
      <c r="E160" s="5" t="n"/>
      <c r="F160" s="6" t="n"/>
      <c r="G160" t="inlineStr">
        <is>
          <t>Cross border xpress</t>
        </is>
      </c>
      <c r="H160" s="7" t="n">
        <v>-865.54</v>
      </c>
      <c r="I160" s="8" t="n">
        <v>0</v>
      </c>
      <c r="J160" s="7" t="n">
        <v>-865.54</v>
      </c>
      <c r="K160" t="inlineStr">
        <is>
          <t>api</t>
        </is>
      </c>
    </row>
    <row r="161">
      <c r="A161" t="inlineStr">
        <is>
          <t>143991157329</t>
        </is>
      </c>
      <c r="B161" t="inlineStr">
        <is>
          <t>2026-02-03T15:44:38.000-04:00</t>
        </is>
      </c>
      <c r="C161" t="inlineStr">
        <is>
          <t>Purchase/Expense</t>
        </is>
      </c>
      <c r="D161" s="4" t="n"/>
      <c r="E161" s="5" t="n"/>
      <c r="F161" s="6" t="n"/>
      <c r="G161" t="inlineStr">
        <is>
          <t>Gotckts*loyolamarymoun</t>
        </is>
      </c>
      <c r="H161" s="7" t="n">
        <v>-623.22</v>
      </c>
      <c r="I161" s="8" t="n">
        <v>0</v>
      </c>
      <c r="J161" s="7" t="n">
        <v>-623.22</v>
      </c>
      <c r="K161" t="inlineStr">
        <is>
          <t>api</t>
        </is>
      </c>
    </row>
    <row r="162">
      <c r="A162" t="inlineStr">
        <is>
          <t>144671308758</t>
        </is>
      </c>
      <c r="B162" t="inlineStr">
        <is>
          <t>2026-02-03T15:30:38.000-04:00</t>
        </is>
      </c>
      <c r="C162" t="inlineStr">
        <is>
          <t>Purchase/Expense</t>
        </is>
      </c>
      <c r="D162" s="4" t="n"/>
      <c r="E162" s="5" t="n"/>
      <c r="F162" s="6" t="n"/>
      <c r="G162" t="inlineStr">
        <is>
          <t>Gotckts*loyolamarymoun</t>
        </is>
      </c>
      <c r="H162" s="7" t="n">
        <v>-276.96</v>
      </c>
      <c r="I162" s="8" t="n">
        <v>0</v>
      </c>
      <c r="J162" s="7" t="n">
        <v>-276.96</v>
      </c>
      <c r="K162" t="inlineStr">
        <is>
          <t>api</t>
        </is>
      </c>
    </row>
    <row r="163">
      <c r="A163" t="inlineStr">
        <is>
          <t>144669399852</t>
        </is>
      </c>
      <c r="B163" t="inlineStr">
        <is>
          <t>2026-02-03T15:16:32.000-04:00</t>
        </is>
      </c>
      <c r="C163" t="inlineStr">
        <is>
          <t>Purchase/Expense</t>
        </is>
      </c>
      <c r="D163" s="4" t="n"/>
      <c r="E163" s="5" t="n"/>
      <c r="F163" s="6" t="n"/>
      <c r="G163" t="inlineStr">
        <is>
          <t>Gotckts*loyolamarymoun</t>
        </is>
      </c>
      <c r="H163" s="7" t="n">
        <v>-1044.27</v>
      </c>
      <c r="I163" s="8" t="n">
        <v>0</v>
      </c>
      <c r="J163" s="7" t="n">
        <v>-1044.27</v>
      </c>
      <c r="K163" t="inlineStr">
        <is>
          <t>api</t>
        </is>
      </c>
    </row>
    <row r="164">
      <c r="A164" t="inlineStr">
        <is>
          <t>143946475631</t>
        </is>
      </c>
      <c r="B164" t="inlineStr">
        <is>
          <t>2026-02-03T09:59:27.000-04:00</t>
        </is>
      </c>
      <c r="C164" t="inlineStr">
        <is>
          <t>Money Transfer</t>
        </is>
      </c>
      <c r="D164" s="4" t="n"/>
      <c r="E164" s="5" t="n"/>
      <c r="F164" s="6" t="n"/>
      <c r="G164" t="inlineStr">
        <is>
          <t>Ganancias!</t>
        </is>
      </c>
      <c r="H164" s="8" t="n">
        <v>0.19</v>
      </c>
      <c r="I164" s="8" t="n">
        <v>0</v>
      </c>
      <c r="J164" s="8" t="n">
        <v>0.19</v>
      </c>
      <c r="K164" t="inlineStr">
        <is>
          <t>api</t>
        </is>
      </c>
    </row>
    <row r="165">
      <c r="A165" t="inlineStr">
        <is>
          <t>1739351526568</t>
        </is>
      </c>
      <c r="B165" t="inlineStr">
        <is>
          <t>2026-02-03</t>
        </is>
      </c>
      <c r="C165" t="inlineStr">
        <is>
          <t>Bank Deposit</t>
        </is>
      </c>
      <c r="D165" s="4" t="n"/>
      <c r="E165" s="5" t="n"/>
      <c r="F165" s="6" t="n"/>
      <c r="G165" t="inlineStr">
        <is>
          <t>asset_management</t>
        </is>
      </c>
      <c r="H165" s="8" t="n">
        <v>0.15</v>
      </c>
      <c r="I165" s="8" t="n">
        <v>0</v>
      </c>
      <c r="J165" s="8" t="n">
        <v>0.15</v>
      </c>
      <c r="K165" t="inlineStr">
        <is>
          <t>release</t>
        </is>
      </c>
    </row>
    <row r="166">
      <c r="A166" t="inlineStr">
        <is>
          <t>144447402700</t>
        </is>
      </c>
      <c r="B166" t="inlineStr">
        <is>
          <t>2026-02-01T23:21:26.000-04:00</t>
        </is>
      </c>
      <c r="C166" t="inlineStr">
        <is>
          <t>Purchase/Expense</t>
        </is>
      </c>
      <c r="D166" s="4" t="n"/>
      <c r="E166" s="5" t="n"/>
      <c r="F166" s="6" t="n"/>
      <c r="G166" t="inlineStr">
        <is>
          <t>Mercadopago *pescader</t>
        </is>
      </c>
      <c r="H166" s="7" t="n">
        <v>-280</v>
      </c>
      <c r="I166" s="8" t="n">
        <v>0</v>
      </c>
      <c r="J166" s="7" t="n">
        <v>-280</v>
      </c>
      <c r="K166" t="inlineStr">
        <is>
          <t>api</t>
        </is>
      </c>
    </row>
    <row r="167">
      <c r="A167" t="inlineStr">
        <is>
          <t>143745212647</t>
        </is>
      </c>
      <c r="B167" t="inlineStr">
        <is>
          <t>2026-02-01T19:14:36.000-04:00</t>
        </is>
      </c>
      <c r="C167" t="inlineStr">
        <is>
          <t>Purchase/Expense</t>
        </is>
      </c>
      <c r="D167" s="4" t="n"/>
      <c r="E167" s="5" t="n"/>
      <c r="F167" s="6" t="n"/>
      <c r="G167" t="inlineStr">
        <is>
          <t>Fruteria hnos salgado</t>
        </is>
      </c>
      <c r="H167" s="7" t="n">
        <v>-157.23</v>
      </c>
      <c r="I167" s="8" t="n">
        <v>0</v>
      </c>
      <c r="J167" s="7" t="n">
        <v>-157.23</v>
      </c>
      <c r="K167" t="inlineStr">
        <is>
          <t>api</t>
        </is>
      </c>
    </row>
    <row r="168">
      <c r="A168" t="inlineStr">
        <is>
          <t>143642379649</t>
        </is>
      </c>
      <c r="B168" t="inlineStr">
        <is>
          <t>2026-01-31T20:01:58.000-04:00</t>
        </is>
      </c>
      <c r="C168" t="inlineStr">
        <is>
          <t>Purchase/Expense</t>
        </is>
      </c>
      <c r="D168" s="4" t="n"/>
      <c r="E168" s="5" t="n"/>
      <c r="F168" s="6" t="n"/>
      <c r="G168" t="inlineStr">
        <is>
          <t>Mercadopago *carnitas</t>
        </is>
      </c>
      <c r="H168" s="7" t="n">
        <v>-253</v>
      </c>
      <c r="I168" s="8" t="n">
        <v>0</v>
      </c>
      <c r="J168" s="7" t="n">
        <v>-253</v>
      </c>
      <c r="K168" t="inlineStr">
        <is>
          <t>api</t>
        </is>
      </c>
    </row>
    <row r="169">
      <c r="A169" t="inlineStr">
        <is>
          <t>144287777150</t>
        </is>
      </c>
      <c r="B169" t="inlineStr">
        <is>
          <t>2026-01-31T15:49:56.000-04:00</t>
        </is>
      </c>
      <c r="C169" t="inlineStr">
        <is>
          <t>Purchase/Expense</t>
        </is>
      </c>
      <c r="D169" s="4" t="n"/>
      <c r="E169" s="5" t="n"/>
      <c r="F169" s="6" t="n"/>
      <c r="G169" t="n">
        <v/>
      </c>
      <c r="H169" s="7" t="n">
        <v>-844.36</v>
      </c>
      <c r="I169" s="8" t="n">
        <v>0</v>
      </c>
      <c r="J169" s="7" t="n">
        <v>-844.36</v>
      </c>
      <c r="K169" t="inlineStr">
        <is>
          <t>api</t>
        </is>
      </c>
    </row>
    <row r="170">
      <c r="A170" t="inlineStr">
        <is>
          <t>143539003935</t>
        </is>
      </c>
      <c r="B170" t="inlineStr">
        <is>
          <t>2026-01-31T01:42:07.000-04:00</t>
        </is>
      </c>
      <c r="C170" t="inlineStr">
        <is>
          <t>Purchase/Expense</t>
        </is>
      </c>
      <c r="D170" s="4" t="n"/>
      <c r="E170" s="5" t="n"/>
      <c r="F170" s="6" t="n"/>
      <c r="G170" t="inlineStr">
        <is>
          <t>Oxxo pescadero lap</t>
        </is>
      </c>
      <c r="H170" s="7" t="n">
        <v>-90</v>
      </c>
      <c r="I170" s="8" t="n">
        <v>0</v>
      </c>
      <c r="J170" s="7" t="n">
        <v>-90</v>
      </c>
      <c r="K170" t="inlineStr">
        <is>
          <t>api</t>
        </is>
      </c>
    </row>
    <row r="171">
      <c r="A171" t="inlineStr">
        <is>
          <t>144215819864</t>
        </is>
      </c>
      <c r="B171" t="inlineStr">
        <is>
          <t>2026-01-31T00:48:03.000-04:00</t>
        </is>
      </c>
      <c r="C171" t="inlineStr">
        <is>
          <t>Purchase/Expense</t>
        </is>
      </c>
      <c r="D171" s="4" t="n"/>
      <c r="E171" s="5" t="n"/>
      <c r="F171" s="6" t="n"/>
      <c r="G171" t="inlineStr">
        <is>
          <t>Mercadopago *pescader</t>
        </is>
      </c>
      <c r="H171" s="7" t="n">
        <v>-198</v>
      </c>
      <c r="I171" s="8" t="n">
        <v>0</v>
      </c>
      <c r="J171" s="7" t="n">
        <v>-198</v>
      </c>
      <c r="K171" t="inlineStr">
        <is>
          <t>api</t>
        </is>
      </c>
    </row>
    <row r="172">
      <c r="A172" t="inlineStr">
        <is>
          <t>144187046370</t>
        </is>
      </c>
      <c r="B172" t="inlineStr">
        <is>
          <t>2026-01-30T19:48:13.000-04:00</t>
        </is>
      </c>
      <c r="C172" t="inlineStr">
        <is>
          <t>Purchase/Expense</t>
        </is>
      </c>
      <c r="D172" s="4" t="n"/>
      <c r="E172" s="5" t="n"/>
      <c r="F172" s="6" t="n"/>
      <c r="G172" t="inlineStr">
        <is>
          <t>Openrouter, inc</t>
        </is>
      </c>
      <c r="H172" s="7" t="n">
        <v>-188.05</v>
      </c>
      <c r="I172" s="8" t="n">
        <v>0</v>
      </c>
      <c r="J172" s="7" t="n">
        <v>-188.05</v>
      </c>
      <c r="K172" t="inlineStr">
        <is>
          <t>api</t>
        </is>
      </c>
    </row>
    <row r="173">
      <c r="A173" t="inlineStr">
        <is>
          <t>144172565102</t>
        </is>
      </c>
      <c r="B173" t="inlineStr">
        <is>
          <t>2026-01-30T18:15:52.000-04:00</t>
        </is>
      </c>
      <c r="C173" t="inlineStr">
        <is>
          <t>Account Funding (Deposit)</t>
        </is>
      </c>
      <c r="D173" s="4" t="n"/>
      <c r="E173" s="5" t="n"/>
      <c r="F173" s="6" t="n"/>
      <c r="G173" t="inlineStr">
        <is>
          <t>Bank Transfer</t>
        </is>
      </c>
      <c r="H173" s="8" t="n">
        <v>15000</v>
      </c>
      <c r="I173" s="8" t="n">
        <v>0</v>
      </c>
      <c r="J173" s="8" t="n">
        <v>15000</v>
      </c>
      <c r="K173" t="inlineStr">
        <is>
          <t>api</t>
        </is>
      </c>
    </row>
    <row r="174">
      <c r="A174" t="inlineStr">
        <is>
          <t>143470471627</t>
        </is>
      </c>
      <c r="B174" t="inlineStr">
        <is>
          <t>2026-01-30T15:34:05.000-04:00</t>
        </is>
      </c>
      <c r="C174" t="inlineStr">
        <is>
          <t>Purchase/Expense</t>
        </is>
      </c>
      <c r="D174" s="4" t="n"/>
      <c r="E174" s="5" t="n"/>
      <c r="F174" s="6" t="n"/>
      <c r="G174" t="inlineStr">
        <is>
          <t>Openrouter, inc</t>
        </is>
      </c>
      <c r="H174" s="7" t="n">
        <v>-188.05</v>
      </c>
      <c r="I174" s="8" t="n">
        <v>0</v>
      </c>
      <c r="J174" s="7" t="n">
        <v>-188.05</v>
      </c>
      <c r="K174" t="inlineStr">
        <is>
          <t>api</t>
        </is>
      </c>
    </row>
    <row r="175">
      <c r="A175" t="inlineStr">
        <is>
          <t>144123235528</t>
        </is>
      </c>
      <c r="B175" t="inlineStr">
        <is>
          <t>2026-01-30T12:10:35.000-04:00</t>
        </is>
      </c>
      <c r="C175" t="inlineStr">
        <is>
          <t>Purchase/Expense</t>
        </is>
      </c>
      <c r="D175" s="4" t="n"/>
      <c r="E175" s="5" t="n"/>
      <c r="F175" s="6" t="n"/>
      <c r="G175" t="inlineStr">
        <is>
          <t>Fruteria hnos salgado</t>
        </is>
      </c>
      <c r="H175" s="7" t="n">
        <v>-155.39</v>
      </c>
      <c r="I175" s="8" t="n">
        <v>0</v>
      </c>
      <c r="J175" s="7" t="n">
        <v>-155.39</v>
      </c>
      <c r="K175" t="inlineStr">
        <is>
          <t>api</t>
        </is>
      </c>
    </row>
    <row r="176">
      <c r="A176" t="inlineStr">
        <is>
          <t>143442670637</t>
        </is>
      </c>
      <c r="B176" t="inlineStr">
        <is>
          <t>2026-01-30T11:53:36.000-04:00</t>
        </is>
      </c>
      <c r="C176" t="inlineStr">
        <is>
          <t>Account Funding (Deposit)</t>
        </is>
      </c>
      <c r="D176" s="4" t="n"/>
      <c r="E176" s="5" t="n"/>
      <c r="F176" s="6" t="n"/>
      <c r="G176" t="inlineStr">
        <is>
          <t>Bank Transfer</t>
        </is>
      </c>
      <c r="H176" s="8" t="n">
        <v>2500</v>
      </c>
      <c r="I176" s="8" t="n">
        <v>0</v>
      </c>
      <c r="J176" s="8" t="n">
        <v>2500</v>
      </c>
      <c r="K176" t="inlineStr">
        <is>
          <t>api</t>
        </is>
      </c>
    </row>
    <row r="177">
      <c r="A177" t="inlineStr">
        <is>
          <t>144069819156</t>
        </is>
      </c>
      <c r="B177" t="inlineStr">
        <is>
          <t>2026-01-30T03:25:08.000-04:00</t>
        </is>
      </c>
      <c r="C177" t="inlineStr">
        <is>
          <t>Money Transfer</t>
        </is>
      </c>
      <c r="D177" s="4" t="n"/>
      <c r="E177" s="5" t="n"/>
      <c r="F177" s="6" t="n"/>
      <c r="G177" t="inlineStr">
        <is>
          <t>Ganancias!</t>
        </is>
      </c>
      <c r="H177" s="8" t="n">
        <v>0.3</v>
      </c>
      <c r="I177" s="8" t="n">
        <v>0</v>
      </c>
      <c r="J177" s="8" t="n">
        <v>0.3</v>
      </c>
      <c r="K177" t="inlineStr">
        <is>
          <t>api</t>
        </is>
      </c>
    </row>
    <row r="178">
      <c r="A178" t="inlineStr">
        <is>
          <t>1739230521382</t>
        </is>
      </c>
      <c r="B178" t="inlineStr">
        <is>
          <t>2026-01-30</t>
        </is>
      </c>
      <c r="C178" t="inlineStr">
        <is>
          <t>Bank Deposit</t>
        </is>
      </c>
      <c r="D178" s="4" t="n"/>
      <c r="E178" s="5" t="n"/>
      <c r="F178" s="6" t="n"/>
      <c r="G178" t="inlineStr">
        <is>
          <t>asset_management</t>
        </is>
      </c>
      <c r="H178" s="8" t="n">
        <v>0.24</v>
      </c>
      <c r="I178" s="8" t="n">
        <v>0</v>
      </c>
      <c r="J178" s="8" t="n">
        <v>0.24</v>
      </c>
      <c r="K178" t="inlineStr">
        <is>
          <t>release</t>
        </is>
      </c>
    </row>
    <row r="179">
      <c r="A179" t="inlineStr">
        <is>
          <t>144171961136</t>
        </is>
      </c>
      <c r="B179" t="inlineStr">
        <is>
          <t>2026-01-30</t>
        </is>
      </c>
      <c r="C179" t="inlineStr">
        <is>
          <t>Bank Withdrawal</t>
        </is>
      </c>
      <c r="D179" s="4" t="n"/>
      <c r="E179" s="5" t="n"/>
      <c r="F179" s="6" t="n"/>
      <c r="G179" t="inlineStr">
        <is>
          <t>reserve_for_payout</t>
        </is>
      </c>
      <c r="H179" s="8" t="n">
        <v>9500</v>
      </c>
      <c r="I179" s="8" t="n">
        <v>0</v>
      </c>
      <c r="J179" s="7" t="n">
        <v>-9500</v>
      </c>
      <c r="K179" t="inlineStr">
        <is>
          <t>release</t>
        </is>
      </c>
    </row>
    <row r="180">
      <c r="A180" t="inlineStr">
        <is>
          <t>143335356997</t>
        </is>
      </c>
      <c r="B180" t="inlineStr">
        <is>
          <t>2026-01-29T16:44:30.000-04:00</t>
        </is>
      </c>
      <c r="C180" t="inlineStr">
        <is>
          <t>Purchase/Expense</t>
        </is>
      </c>
      <c r="D180" s="4" t="n"/>
      <c r="E180" s="5" t="n"/>
      <c r="F180" s="6" t="n"/>
      <c r="G180" t="inlineStr">
        <is>
          <t>Openrouter, inc</t>
        </is>
      </c>
      <c r="H180" s="7" t="n">
        <v>-187.2</v>
      </c>
      <c r="I180" s="8" t="n">
        <v>0</v>
      </c>
      <c r="J180" s="7" t="n">
        <v>-187.2</v>
      </c>
      <c r="K180" t="inlineStr">
        <is>
          <t>api</t>
        </is>
      </c>
    </row>
    <row r="181">
      <c r="A181" t="inlineStr">
        <is>
          <t>143998989706</t>
        </is>
      </c>
      <c r="B181" t="inlineStr">
        <is>
          <t>2026-01-29T14:42:42.000-04:00</t>
        </is>
      </c>
      <c r="C181" t="inlineStr">
        <is>
          <t>Purchase/Expense</t>
        </is>
      </c>
      <c r="D181" s="4" t="n"/>
      <c r="E181" s="5" t="n"/>
      <c r="F181" s="6" t="n"/>
      <c r="G181" t="inlineStr">
        <is>
          <t>Openrouter, inc</t>
        </is>
      </c>
      <c r="H181" s="7" t="n">
        <v>-187.2</v>
      </c>
      <c r="I181" s="8" t="n">
        <v>0</v>
      </c>
      <c r="J181" s="7" t="n">
        <v>-187.2</v>
      </c>
      <c r="K181" t="inlineStr">
        <is>
          <t>api</t>
        </is>
      </c>
    </row>
    <row r="182">
      <c r="A182" t="inlineStr">
        <is>
          <t>143305889675</t>
        </is>
      </c>
      <c r="B182" t="inlineStr">
        <is>
          <t>2026-01-29T12:17:53.000-04:00</t>
        </is>
      </c>
      <c r="C182" t="inlineStr">
        <is>
          <t>Purchase/Expense</t>
        </is>
      </c>
      <c r="D182" s="4" t="n"/>
      <c r="E182" s="5" t="n"/>
      <c r="F182" s="6" t="n"/>
      <c r="G182" t="inlineStr">
        <is>
          <t>Gasol t santos</t>
        </is>
      </c>
      <c r="H182" s="7" t="n">
        <v>-990.42</v>
      </c>
      <c r="I182" s="8" t="n">
        <v>0</v>
      </c>
      <c r="J182" s="7" t="n">
        <v>-990.42</v>
      </c>
      <c r="K182" t="inlineStr">
        <is>
          <t>api</t>
        </is>
      </c>
    </row>
    <row r="183">
      <c r="A183" t="inlineStr">
        <is>
          <t>143273315489</t>
        </is>
      </c>
      <c r="B183" t="inlineStr">
        <is>
          <t>2026-01-29T07:48:16.000-04:00</t>
        </is>
      </c>
      <c r="C183" t="inlineStr">
        <is>
          <t>Money Transfer</t>
        </is>
      </c>
      <c r="D183" s="4" t="n"/>
      <c r="E183" s="5" t="n"/>
      <c r="F183" s="6" t="n"/>
      <c r="G183" t="inlineStr">
        <is>
          <t>Ganancias!</t>
        </is>
      </c>
      <c r="H183" s="8" t="n">
        <v>0.45</v>
      </c>
      <c r="I183" s="8" t="n">
        <v>0</v>
      </c>
      <c r="J183" s="8" t="n">
        <v>0.45</v>
      </c>
      <c r="K183" t="inlineStr">
        <is>
          <t>api</t>
        </is>
      </c>
    </row>
    <row r="184">
      <c r="A184" t="inlineStr">
        <is>
          <t>1739181587921</t>
        </is>
      </c>
      <c r="B184" t="inlineStr">
        <is>
          <t>2026-01-29</t>
        </is>
      </c>
      <c r="C184" t="inlineStr">
        <is>
          <t>Bank Deposit</t>
        </is>
      </c>
      <c r="D184" s="4" t="n"/>
      <c r="E184" s="5" t="n"/>
      <c r="F184" s="6" t="n"/>
      <c r="G184" t="inlineStr">
        <is>
          <t>asset_management</t>
        </is>
      </c>
      <c r="H184" s="8" t="n">
        <v>0.4</v>
      </c>
      <c r="I184" s="8" t="n">
        <v>0</v>
      </c>
      <c r="J184" s="8" t="n">
        <v>0.4</v>
      </c>
      <c r="K184" t="inlineStr">
        <is>
          <t>release</t>
        </is>
      </c>
    </row>
    <row r="185">
      <c r="A185" t="inlineStr">
        <is>
          <t>143206866005</t>
        </is>
      </c>
      <c r="B185" t="inlineStr">
        <is>
          <t>2026-01-28T17:20:09.000-04:00</t>
        </is>
      </c>
      <c r="C185" t="inlineStr">
        <is>
          <t>Purchase/Expense</t>
        </is>
      </c>
      <c r="D185" s="4" t="n"/>
      <c r="E185" s="5" t="n"/>
      <c r="F185" s="6" t="n"/>
      <c r="G185" t="inlineStr">
        <is>
          <t>Openrouter, inc</t>
        </is>
      </c>
      <c r="H185" s="7" t="n">
        <v>-186.97</v>
      </c>
      <c r="I185" s="8" t="n">
        <v>0</v>
      </c>
      <c r="J185" s="7" t="n">
        <v>-186.97</v>
      </c>
      <c r="K185" t="inlineStr">
        <is>
          <t>api</t>
        </is>
      </c>
    </row>
    <row r="186">
      <c r="A186" t="inlineStr">
        <is>
          <t>143176186901</t>
        </is>
      </c>
      <c r="B186" t="inlineStr">
        <is>
          <t>2026-01-28T13:04:01.000-04:00</t>
        </is>
      </c>
      <c r="C186" t="inlineStr">
        <is>
          <t>Purchase/Expense</t>
        </is>
      </c>
      <c r="D186" s="4" t="n"/>
      <c r="E186" s="5" t="n"/>
      <c r="F186" s="6" t="n"/>
      <c r="G186" t="inlineStr">
        <is>
          <t>Docecuarenta cafe</t>
        </is>
      </c>
      <c r="H186" s="7" t="n">
        <v>-55</v>
      </c>
      <c r="I186" s="8" t="n">
        <v>0</v>
      </c>
      <c r="J186" s="7" t="n">
        <v>-55</v>
      </c>
      <c r="K186" t="inlineStr">
        <is>
          <t>api</t>
        </is>
      </c>
    </row>
    <row r="187">
      <c r="A187" t="inlineStr">
        <is>
          <t>143851405388</t>
        </is>
      </c>
      <c r="B187" t="inlineStr">
        <is>
          <t>2026-01-28T12:53:19.000-04:00</t>
        </is>
      </c>
      <c r="C187" t="inlineStr">
        <is>
          <t>Purchase/Expense</t>
        </is>
      </c>
      <c r="D187" s="4" t="n"/>
      <c r="E187" s="5" t="n"/>
      <c r="F187" s="6" t="n"/>
      <c r="G187" t="inlineStr">
        <is>
          <t>Hubsite mexico - banor</t>
        </is>
      </c>
      <c r="H187" s="7" t="n">
        <v>-734.8</v>
      </c>
      <c r="I187" s="8" t="n">
        <v>0</v>
      </c>
      <c r="J187" s="7" t="n">
        <v>-734.8</v>
      </c>
      <c r="K187" t="inlineStr">
        <is>
          <t>api</t>
        </is>
      </c>
    </row>
    <row r="188">
      <c r="A188" t="inlineStr">
        <is>
          <t>143126482881</t>
        </is>
      </c>
      <c r="B188" t="inlineStr">
        <is>
          <t>2026-01-28T05:34:03.000-04:00</t>
        </is>
      </c>
      <c r="C188" t="inlineStr">
        <is>
          <t>Money Transfer</t>
        </is>
      </c>
      <c r="D188" s="4" t="n"/>
      <c r="E188" s="5" t="n"/>
      <c r="F188" s="6" t="n"/>
      <c r="G188" t="inlineStr">
        <is>
          <t>Ganancias!</t>
        </is>
      </c>
      <c r="H188" s="8" t="n">
        <v>0.45</v>
      </c>
      <c r="I188" s="8" t="n">
        <v>0</v>
      </c>
      <c r="J188" s="8" t="n">
        <v>0.45</v>
      </c>
      <c r="K188" t="inlineStr">
        <is>
          <t>api</t>
        </is>
      </c>
    </row>
    <row r="189">
      <c r="A189" t="inlineStr">
        <is>
          <t>1739124282623</t>
        </is>
      </c>
      <c r="B189" t="inlineStr">
        <is>
          <t>2026-01-28</t>
        </is>
      </c>
      <c r="C189" t="inlineStr">
        <is>
          <t>Bank Deposit</t>
        </is>
      </c>
      <c r="D189" s="4" t="n"/>
      <c r="E189" s="5" t="n"/>
      <c r="F189" s="6" t="n"/>
      <c r="G189" t="inlineStr">
        <is>
          <t>asset_management</t>
        </is>
      </c>
      <c r="H189" s="8" t="n">
        <v>0.51</v>
      </c>
      <c r="I189" s="8" t="n">
        <v>0</v>
      </c>
      <c r="J189" s="8" t="n">
        <v>0.51</v>
      </c>
      <c r="K189" t="inlineStr">
        <is>
          <t>release</t>
        </is>
      </c>
    </row>
    <row r="190">
      <c r="A190" t="inlineStr">
        <is>
          <t>143085136219</t>
        </is>
      </c>
      <c r="B190" t="inlineStr">
        <is>
          <t>2026-01-27T18:44:29.000-04:00</t>
        </is>
      </c>
      <c r="C190" t="inlineStr">
        <is>
          <t>Purchase/Expense</t>
        </is>
      </c>
      <c r="D190" s="4" t="n"/>
      <c r="E190" s="5" t="n"/>
      <c r="F190" s="6" t="n"/>
      <c r="G190" t="inlineStr">
        <is>
          <t>Openrouter, inc</t>
        </is>
      </c>
      <c r="H190" s="7" t="n">
        <v>-187.52</v>
      </c>
      <c r="I190" s="8" t="n">
        <v>0</v>
      </c>
      <c r="J190" s="7" t="n">
        <v>-187.52</v>
      </c>
      <c r="K190" t="inlineStr">
        <is>
          <t>api</t>
        </is>
      </c>
    </row>
    <row r="191">
      <c r="A191" t="inlineStr">
        <is>
          <t>143062876579</t>
        </is>
      </c>
      <c r="B191" t="inlineStr">
        <is>
          <t>2026-01-27T15:46:30.000-04:00</t>
        </is>
      </c>
      <c r="C191" t="inlineStr">
        <is>
          <t>Purchase/Expense</t>
        </is>
      </c>
      <c r="D191" s="4" t="n"/>
      <c r="E191" s="5" t="n"/>
      <c r="F191" s="6" t="n"/>
      <c r="G191" t="inlineStr">
        <is>
          <t>Openrouter, inc</t>
        </is>
      </c>
      <c r="H191" s="7" t="n">
        <v>-187.52</v>
      </c>
      <c r="I191" s="8" t="n">
        <v>0</v>
      </c>
      <c r="J191" s="7" t="n">
        <v>-187.52</v>
      </c>
      <c r="K191" t="inlineStr">
        <is>
          <t>api</t>
        </is>
      </c>
    </row>
    <row r="192">
      <c r="A192" t="inlineStr">
        <is>
          <t>142991668511</t>
        </is>
      </c>
      <c r="B192" t="inlineStr">
        <is>
          <t>2026-01-27T03:00:24.000-04:00</t>
        </is>
      </c>
      <c r="C192" t="inlineStr">
        <is>
          <t>Money Transfer</t>
        </is>
      </c>
      <c r="D192" s="4" t="n"/>
      <c r="E192" s="5" t="n"/>
      <c r="F192" s="6" t="n"/>
      <c r="G192" t="inlineStr">
        <is>
          <t>Ganancias!</t>
        </is>
      </c>
      <c r="H192" s="8" t="n">
        <v>0.77</v>
      </c>
      <c r="I192" s="8" t="n">
        <v>0</v>
      </c>
      <c r="J192" s="8" t="n">
        <v>0.77</v>
      </c>
      <c r="K192" t="inlineStr">
        <is>
          <t>api</t>
        </is>
      </c>
    </row>
    <row r="193">
      <c r="A193" t="inlineStr">
        <is>
          <t>1739053004367</t>
        </is>
      </c>
      <c r="B193" t="inlineStr">
        <is>
          <t>2026-01-27</t>
        </is>
      </c>
      <c r="C193" t="inlineStr">
        <is>
          <t>Bank Deposit</t>
        </is>
      </c>
      <c r="D193" s="4" t="n"/>
      <c r="E193" s="5" t="n"/>
      <c r="F193" s="6" t="n"/>
      <c r="G193" t="inlineStr">
        <is>
          <t>asset_management</t>
        </is>
      </c>
      <c r="H193" s="8" t="n">
        <v>0.27</v>
      </c>
      <c r="I193" s="8" t="n">
        <v>0</v>
      </c>
      <c r="J193" s="8" t="n">
        <v>0.27</v>
      </c>
      <c r="K193" t="inlineStr">
        <is>
          <t>release</t>
        </is>
      </c>
    </row>
    <row r="194">
      <c r="A194" t="inlineStr">
        <is>
          <t>142859604929</t>
        </is>
      </c>
      <c r="B194" t="inlineStr">
        <is>
          <t>2026-01-26T03:02:59.000-04:00</t>
        </is>
      </c>
      <c r="C194" t="inlineStr">
        <is>
          <t>Money Transfer</t>
        </is>
      </c>
      <c r="D194" s="4" t="n"/>
      <c r="E194" s="5" t="n"/>
      <c r="F194" s="6" t="n"/>
      <c r="G194" t="inlineStr">
        <is>
          <t>Ganancias!</t>
        </is>
      </c>
      <c r="H194" s="8" t="n">
        <v>1.82</v>
      </c>
      <c r="I194" s="8" t="n">
        <v>0</v>
      </c>
      <c r="J194" s="8" t="n">
        <v>1.82</v>
      </c>
      <c r="K194" t="inlineStr">
        <is>
          <t>api</t>
        </is>
      </c>
    </row>
    <row r="195">
      <c r="A195" t="inlineStr">
        <is>
          <t>1738983787586</t>
        </is>
      </c>
      <c r="B195" t="inlineStr">
        <is>
          <t>2026-01-26</t>
        </is>
      </c>
      <c r="C195" t="inlineStr">
        <is>
          <t>Bank Deposit</t>
        </is>
      </c>
      <c r="D195" s="4" t="n"/>
      <c r="E195" s="5" t="n"/>
      <c r="F195" s="6" t="n"/>
      <c r="G195" t="inlineStr">
        <is>
          <t>asset_management</t>
        </is>
      </c>
      <c r="H195" s="8" t="n">
        <v>1.51</v>
      </c>
      <c r="I195" s="8" t="n">
        <v>0</v>
      </c>
      <c r="J195" s="8" t="n">
        <v>1.51</v>
      </c>
      <c r="K195" t="inlineStr">
        <is>
          <t>release</t>
        </is>
      </c>
    </row>
    <row r="196">
      <c r="A196" t="inlineStr">
        <is>
          <t>143585527192</t>
        </is>
      </c>
      <c r="B196" t="inlineStr">
        <is>
          <t>2026-01-26</t>
        </is>
      </c>
      <c r="C196" t="inlineStr">
        <is>
          <t>Bank Withdrawal</t>
        </is>
      </c>
      <c r="D196" s="4" t="n"/>
      <c r="E196" s="5" t="n"/>
      <c r="F196" s="6" t="n"/>
      <c r="G196" t="inlineStr">
        <is>
          <t>reserve_for_payout</t>
        </is>
      </c>
      <c r="H196" s="8" t="n">
        <v>150</v>
      </c>
      <c r="I196" s="8" t="n">
        <v>0</v>
      </c>
      <c r="J196" s="7" t="n">
        <v>-150</v>
      </c>
      <c r="K196" t="inlineStr">
        <is>
          <t>release</t>
        </is>
      </c>
    </row>
    <row r="197">
      <c r="A197" t="inlineStr">
        <is>
          <t>142816369113</t>
        </is>
      </c>
      <c r="B197" t="inlineStr">
        <is>
          <t>2026-01-25</t>
        </is>
      </c>
      <c r="C197" t="inlineStr">
        <is>
          <t>Bank Withdrawal</t>
        </is>
      </c>
      <c r="D197" s="4" t="n"/>
      <c r="E197" s="5" t="n"/>
      <c r="F197" s="6" t="n"/>
      <c r="G197" t="inlineStr">
        <is>
          <t>reserve_for_payout</t>
        </is>
      </c>
      <c r="H197" s="8" t="n">
        <v>250</v>
      </c>
      <c r="I197" s="8" t="n">
        <v>0</v>
      </c>
      <c r="J197" s="7" t="n">
        <v>-250</v>
      </c>
      <c r="K197" t="inlineStr">
        <is>
          <t>release</t>
        </is>
      </c>
    </row>
    <row r="198">
      <c r="A198" t="inlineStr">
        <is>
          <t>142517038891</t>
        </is>
      </c>
      <c r="B198" t="inlineStr">
        <is>
          <t>2026-01-23T07:49:46.000-04:00</t>
        </is>
      </c>
      <c r="C198" t="inlineStr">
        <is>
          <t>Money Transfer</t>
        </is>
      </c>
      <c r="D198" s="4" t="n"/>
      <c r="E198" s="5" t="n"/>
      <c r="F198" s="6" t="n"/>
      <c r="G198" t="inlineStr">
        <is>
          <t>Ganancias!</t>
        </is>
      </c>
      <c r="H198" s="8" t="n">
        <v>0.79</v>
      </c>
      <c r="I198" s="8" t="n">
        <v>0</v>
      </c>
      <c r="J198" s="8" t="n">
        <v>0.79</v>
      </c>
      <c r="K198" t="inlineStr">
        <is>
          <t>api</t>
        </is>
      </c>
    </row>
    <row r="199">
      <c r="A199" t="inlineStr">
        <is>
          <t>1738921705156</t>
        </is>
      </c>
      <c r="B199" t="inlineStr">
        <is>
          <t>2026-01-23</t>
        </is>
      </c>
      <c r="C199" t="inlineStr">
        <is>
          <t>Bank Deposit</t>
        </is>
      </c>
      <c r="D199" s="4" t="n"/>
      <c r="E199" s="5" t="n"/>
      <c r="F199" s="6" t="n"/>
      <c r="G199" t="inlineStr">
        <is>
          <t>asset_management</t>
        </is>
      </c>
      <c r="H199" s="8" t="n">
        <v>0.65</v>
      </c>
      <c r="I199" s="8" t="n">
        <v>0</v>
      </c>
      <c r="J199" s="8" t="n">
        <v>0.65</v>
      </c>
      <c r="K199" t="inlineStr">
        <is>
          <t>release</t>
        </is>
      </c>
    </row>
    <row r="200">
      <c r="A200" t="inlineStr">
        <is>
          <t>143082013094</t>
        </is>
      </c>
      <c r="B200" t="inlineStr">
        <is>
          <t>2026-01-22T11:52:43.000-04:00</t>
        </is>
      </c>
      <c r="C200" t="inlineStr">
        <is>
          <t>Purchase/Expense</t>
        </is>
      </c>
      <c r="D200" s="4" t="n"/>
      <c r="E200" s="5" t="n"/>
      <c r="F200" s="6" t="n"/>
      <c r="G200" t="inlineStr">
        <is>
          <t>Gasol t santos</t>
        </is>
      </c>
      <c r="H200" s="7" t="n">
        <v>-960.15</v>
      </c>
      <c r="I200" s="8" t="n">
        <v>0</v>
      </c>
      <c r="J200" s="7" t="n">
        <v>-960.15</v>
      </c>
      <c r="K200" t="inlineStr">
        <is>
          <t>api</t>
        </is>
      </c>
    </row>
    <row r="201">
      <c r="A201" t="inlineStr">
        <is>
          <t>142362019945</t>
        </is>
      </c>
      <c r="B201" t="inlineStr">
        <is>
          <t>2026-01-22T02:55:25.000-04:00</t>
        </is>
      </c>
      <c r="C201" t="inlineStr">
        <is>
          <t>Money Transfer</t>
        </is>
      </c>
      <c r="D201" s="4" t="n"/>
      <c r="E201" s="5" t="n"/>
      <c r="F201" s="6" t="n"/>
      <c r="G201" t="inlineStr">
        <is>
          <t>Ganancias!</t>
        </is>
      </c>
      <c r="H201" s="8" t="n">
        <v>0.78</v>
      </c>
      <c r="I201" s="8" t="n">
        <v>0</v>
      </c>
      <c r="J201" s="8" t="n">
        <v>0.78</v>
      </c>
      <c r="K201" t="inlineStr">
        <is>
          <t>api</t>
        </is>
      </c>
    </row>
    <row r="202">
      <c r="A202" t="inlineStr">
        <is>
          <t>1738863682783</t>
        </is>
      </c>
      <c r="B202" t="inlineStr">
        <is>
          <t>2026-01-22</t>
        </is>
      </c>
      <c r="C202" t="inlineStr">
        <is>
          <t>Bank Deposit</t>
        </is>
      </c>
      <c r="D202" s="4" t="n"/>
      <c r="E202" s="5" t="n"/>
      <c r="F202" s="6" t="n"/>
      <c r="G202" t="inlineStr">
        <is>
          <t>asset_management</t>
        </is>
      </c>
      <c r="H202" s="8" t="n">
        <v>0.64</v>
      </c>
      <c r="I202" s="8" t="n">
        <v>0</v>
      </c>
      <c r="J202" s="8" t="n">
        <v>0.64</v>
      </c>
      <c r="K202" t="inlineStr">
        <is>
          <t>release</t>
        </is>
      </c>
    </row>
    <row r="203">
      <c r="A203" t="inlineStr">
        <is>
          <t>142224474937</t>
        </is>
      </c>
      <c r="B203" t="inlineStr">
        <is>
          <t>2026-01-21T02:48:28.000-04:00</t>
        </is>
      </c>
      <c r="C203" t="inlineStr">
        <is>
          <t>Money Transfer</t>
        </is>
      </c>
      <c r="D203" s="4" t="n"/>
      <c r="E203" s="5" t="n"/>
      <c r="F203" s="6" t="n"/>
      <c r="G203" t="inlineStr">
        <is>
          <t>Ganancias!</t>
        </is>
      </c>
      <c r="H203" s="8" t="n">
        <v>0.8100000000000001</v>
      </c>
      <c r="I203" s="8" t="n">
        <v>0</v>
      </c>
      <c r="J203" s="8" t="n">
        <v>0.8100000000000001</v>
      </c>
      <c r="K203" t="inlineStr">
        <is>
          <t>api</t>
        </is>
      </c>
    </row>
    <row r="204">
      <c r="A204" t="inlineStr">
        <is>
          <t>1738803388639</t>
        </is>
      </c>
      <c r="B204" t="inlineStr">
        <is>
          <t>2026-01-21</t>
        </is>
      </c>
      <c r="C204" t="inlineStr">
        <is>
          <t>Bank Deposit</t>
        </is>
      </c>
      <c r="D204" s="4" t="n"/>
      <c r="E204" s="5" t="n"/>
      <c r="F204" s="6" t="n"/>
      <c r="G204" t="inlineStr">
        <is>
          <t>asset_management</t>
        </is>
      </c>
      <c r="H204" s="8" t="n">
        <v>0.73</v>
      </c>
      <c r="I204" s="8" t="n">
        <v>0</v>
      </c>
      <c r="J204" s="8" t="n">
        <v>0.73</v>
      </c>
      <c r="K204" t="inlineStr">
        <is>
          <t>release</t>
        </is>
      </c>
    </row>
    <row r="205">
      <c r="A205" t="inlineStr">
        <is>
          <t>142135264839</t>
        </is>
      </c>
      <c r="B205" t="inlineStr">
        <is>
          <t>2026-01-20T12:04:33.000-04:00</t>
        </is>
      </c>
      <c r="C205" t="inlineStr">
        <is>
          <t>Purchase/Expense</t>
        </is>
      </c>
      <c r="D205" s="4" t="n"/>
      <c r="E205" s="5" t="n"/>
      <c r="F205" s="6" t="n"/>
      <c r="G205" t="n">
        <v/>
      </c>
      <c r="H205" s="7" t="n">
        <v>-1210.45</v>
      </c>
      <c r="I205" s="8" t="n">
        <v>0</v>
      </c>
      <c r="J205" s="7" t="n">
        <v>-1210.45</v>
      </c>
      <c r="K205" t="inlineStr">
        <is>
          <t>api</t>
        </is>
      </c>
    </row>
    <row r="206">
      <c r="A206" t="inlineStr">
        <is>
          <t>142803418586</t>
        </is>
      </c>
      <c r="B206" t="inlineStr">
        <is>
          <t>2026-01-20T11:48:54.000-04:00</t>
        </is>
      </c>
      <c r="C206" t="inlineStr">
        <is>
          <t>Account Funding (Deposit)</t>
        </is>
      </c>
      <c r="D206" s="4" t="n"/>
      <c r="E206" s="5" t="n"/>
      <c r="F206" s="6" t="n"/>
      <c r="G206" t="inlineStr">
        <is>
          <t>Bank Transfer</t>
        </is>
      </c>
      <c r="H206" s="8" t="n">
        <v>5000</v>
      </c>
      <c r="I206" s="8" t="n">
        <v>0</v>
      </c>
      <c r="J206" s="8" t="n">
        <v>5000</v>
      </c>
      <c r="K206" t="inlineStr">
        <is>
          <t>api</t>
        </is>
      </c>
    </row>
    <row r="207">
      <c r="A207" t="inlineStr">
        <is>
          <t>142802708862</t>
        </is>
      </c>
      <c r="B207" t="inlineStr">
        <is>
          <t>2026-01-20T11:44:04.000-04:00</t>
        </is>
      </c>
      <c r="C207" t="inlineStr">
        <is>
          <t>Purchase/Expense</t>
        </is>
      </c>
      <c r="D207" s="4" t="n"/>
      <c r="E207" s="5" t="n"/>
      <c r="F207" s="6" t="n"/>
      <c r="G207" t="inlineStr">
        <is>
          <t>Ana seg e commerce</t>
        </is>
      </c>
      <c r="H207" s="7" t="n">
        <v>-4134.48</v>
      </c>
      <c r="I207" s="8" t="n">
        <v>0</v>
      </c>
      <c r="J207" s="7" t="n">
        <v>-4134.48</v>
      </c>
      <c r="K207" t="inlineStr">
        <is>
          <t>api</t>
        </is>
      </c>
    </row>
    <row r="208">
      <c r="A208" t="inlineStr">
        <is>
          <t>142071902651</t>
        </is>
      </c>
      <c r="B208" t="inlineStr">
        <is>
          <t>2026-01-19T22:36:28.000-04:00</t>
        </is>
      </c>
      <c r="C208" t="inlineStr">
        <is>
          <t>Money Transfer</t>
        </is>
      </c>
      <c r="D208" s="4" t="n"/>
      <c r="E208" s="5" t="n"/>
      <c r="F208" s="6" t="n"/>
      <c r="G208" t="inlineStr">
        <is>
          <t>Pago Prueba 2</t>
        </is>
      </c>
      <c r="H208" s="8" t="n">
        <v>6</v>
      </c>
      <c r="I208" s="8" t="n">
        <v>0</v>
      </c>
      <c r="J208" s="8" t="n">
        <v>6</v>
      </c>
      <c r="K208" t="inlineStr">
        <is>
          <t>api</t>
        </is>
      </c>
    </row>
    <row r="209">
      <c r="A209" t="inlineStr">
        <is>
          <t>142741347278</t>
        </is>
      </c>
      <c r="B209" t="inlineStr">
        <is>
          <t>2026-01-19T22:35:23.000-04:00</t>
        </is>
      </c>
      <c r="C209" t="inlineStr">
        <is>
          <t>Money Transfer</t>
        </is>
      </c>
      <c r="D209" s="4" t="n"/>
      <c r="E209" s="5" t="n"/>
      <c r="F209" s="6" t="n"/>
      <c r="G209" t="inlineStr">
        <is>
          <t>Pago Prueba 1</t>
        </is>
      </c>
      <c r="H209" s="8" t="n">
        <v>5</v>
      </c>
      <c r="I209" s="8" t="n">
        <v>0</v>
      </c>
      <c r="J209" s="8" t="n">
        <v>5</v>
      </c>
      <c r="K209" t="inlineStr">
        <is>
          <t>api</t>
        </is>
      </c>
    </row>
    <row r="210">
      <c r="A210" t="inlineStr">
        <is>
          <t>142046985933</t>
        </is>
      </c>
      <c r="B210" t="inlineStr">
        <is>
          <t>2026-01-19T18:42:46.000-04:00</t>
        </is>
      </c>
      <c r="C210" t="inlineStr">
        <is>
          <t>Purchase/Expense</t>
        </is>
      </c>
      <c r="D210" s="4" t="n"/>
      <c r="E210" s="5" t="n"/>
      <c r="F210" s="6" t="n"/>
      <c r="G210" t="inlineStr">
        <is>
          <t>Fruteria hnos salgado</t>
        </is>
      </c>
      <c r="H210" s="7" t="n">
        <v>-270</v>
      </c>
      <c r="I210" s="8" t="n">
        <v>0</v>
      </c>
      <c r="J210" s="7" t="n">
        <v>-270</v>
      </c>
      <c r="K210" t="inlineStr">
        <is>
          <t>api</t>
        </is>
      </c>
    </row>
    <row r="211">
      <c r="A211" t="inlineStr">
        <is>
          <t>142691169102</t>
        </is>
      </c>
      <c r="B211" t="inlineStr">
        <is>
          <t>2026-01-19T15:32:15.000-04:00</t>
        </is>
      </c>
      <c r="C211" t="inlineStr">
        <is>
          <t>Account Funding (Deposit)</t>
        </is>
      </c>
      <c r="D211" s="4" t="n"/>
      <c r="E211" s="5" t="n"/>
      <c r="F211" s="6" t="n"/>
      <c r="G211" t="inlineStr">
        <is>
          <t>Bank Transfer</t>
        </is>
      </c>
      <c r="H211" s="8" t="n">
        <v>5000</v>
      </c>
      <c r="I211" s="8" t="n">
        <v>0</v>
      </c>
      <c r="J211" s="8" t="n">
        <v>5000</v>
      </c>
      <c r="K211" t="inlineStr">
        <is>
          <t>api</t>
        </is>
      </c>
    </row>
    <row r="212">
      <c r="A212" t="inlineStr">
        <is>
          <t>142711898706</t>
        </is>
      </c>
      <c r="B212" t="inlineStr">
        <is>
          <t>2026-01-19</t>
        </is>
      </c>
      <c r="C212" t="inlineStr">
        <is>
          <t>Bank Withdrawal</t>
        </is>
      </c>
      <c r="D212" s="4" t="n"/>
      <c r="E212" s="5" t="n"/>
      <c r="F212" s="6" t="n"/>
      <c r="G212" t="inlineStr">
        <is>
          <t>reserve_for_payout</t>
        </is>
      </c>
      <c r="H212" s="8" t="n">
        <v>200</v>
      </c>
      <c r="I212" s="8" t="n">
        <v>0</v>
      </c>
      <c r="J212" s="7" t="n">
        <v>-200</v>
      </c>
      <c r="K212" t="inlineStr">
        <is>
          <t>release</t>
        </is>
      </c>
    </row>
    <row r="213">
      <c r="A213" t="inlineStr">
        <is>
          <t>142062925991</t>
        </is>
      </c>
      <c r="B213" t="inlineStr">
        <is>
          <t>2026-01-19</t>
        </is>
      </c>
      <c r="C213" t="inlineStr">
        <is>
          <t>Bank Withdrawal</t>
        </is>
      </c>
      <c r="D213" s="4" t="n"/>
      <c r="E213" s="5" t="n"/>
      <c r="F213" s="6" t="n"/>
      <c r="G213" t="inlineStr">
        <is>
          <t>reserve_for_payout</t>
        </is>
      </c>
      <c r="H213" s="8" t="n">
        <v>10</v>
      </c>
      <c r="I213" s="8" t="n">
        <v>0</v>
      </c>
      <c r="J213" s="7" t="n">
        <v>-10</v>
      </c>
      <c r="K213" t="inlineStr">
        <is>
          <t>release</t>
        </is>
      </c>
    </row>
    <row r="214">
      <c r="A214" t="inlineStr">
        <is>
          <t>141619587722</t>
        </is>
      </c>
      <c r="B214" t="inlineStr">
        <is>
          <t>2026-01-11T16:12:48.000-04:00</t>
        </is>
      </c>
      <c r="C214" t="inlineStr">
        <is>
          <t>POS Sale</t>
        </is>
      </c>
      <c r="D214" s="4" t="n"/>
      <c r="E214" s="5" t="n"/>
      <c r="F214" s="6" t="n"/>
      <c r="G214" t="inlineStr">
        <is>
          <t>Venta presencial</t>
        </is>
      </c>
      <c r="H214" s="8" t="n">
        <v>10</v>
      </c>
      <c r="I214" s="7" t="n">
        <v>-0.4100000000000001</v>
      </c>
      <c r="J214" s="8" t="n">
        <v>9.59</v>
      </c>
      <c r="K214" t="inlineStr">
        <is>
          <t>api</t>
        </is>
      </c>
    </row>
  </sheetData>
  <mergeCells count="1">
    <mergeCell ref="A1:K1"/>
  </mergeCells>
  <dataValidations count="3">
    <dataValidation sqref="D3:D214" showDropDown="0" showInputMessage="0" showErrorMessage="0" allowBlank="1" prompt="Step 1: Work or Personal" type="list">
      <formula1>Dropdowns!$A$2:$A$3</formula1>
    </dataValidation>
    <dataValidation sqref="E3:E214" showDropDown="0" showInputMessage="0" showErrorMessage="0" allowBlank="1" prompt="Step 2a: Work subcategory" type="list">
      <formula1>Dropdowns!$C$2:$C$10</formula1>
    </dataValidation>
    <dataValidation sqref="F3:F214" showDropDown="0" showInputMessage="0" showErrorMessage="0" allowBlank="1" prompt="Step 2b: Personal subcategory" type="list">
      <formula1>Dropdowns!$E$2:$E$7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9" t="inlineStr">
        <is>
          <t>PROFIT &amp; LOSS</t>
        </is>
      </c>
    </row>
    <row r="3">
      <c r="A3" s="10" t="inlineStr">
        <is>
          <t>WORK - INCOME</t>
        </is>
      </c>
    </row>
    <row r="4">
      <c r="A4" t="inlineStr">
        <is>
          <t xml:space="preserve">  Client Payment</t>
        </is>
      </c>
      <c r="B4" s="8">
        <f>SUMIFS('To Label'!J:J,'To Label'!D:D,"Work",'To Label'!E:E,"Client Payment",'To Label'!J:J,"&gt;0")</f>
        <v/>
      </c>
    </row>
    <row r="5">
      <c r="A5" t="inlineStr">
        <is>
          <t xml:space="preserve">  Retainer</t>
        </is>
      </c>
      <c r="B5" s="8">
        <f>SUMIFS('To Label'!J:J,'To Label'!D:D,"Work",'To Label'!E:E,"Retainer",'To Label'!J:J,"&gt;0")</f>
        <v/>
      </c>
    </row>
    <row r="6">
      <c r="A6" t="inlineStr">
        <is>
          <t xml:space="preserve">  Reimbursement</t>
        </is>
      </c>
      <c r="B6" s="8">
        <f>SUMIFS('To Label'!J:J,'To Label'!D:D,"Work",'To Label'!E:E,"Reimbursement",'To Label'!J:J,"&gt;0")</f>
        <v/>
      </c>
    </row>
    <row r="7">
      <c r="A7" s="1" t="inlineStr">
        <is>
          <t>Work Income Total</t>
        </is>
      </c>
      <c r="B7" s="11">
        <f>SUM(B4:B6)</f>
        <v/>
      </c>
    </row>
    <row r="9">
      <c r="A9" s="12" t="inlineStr">
        <is>
          <t>WORK - EXPENSES</t>
        </is>
      </c>
    </row>
    <row r="10">
      <c r="A10" t="inlineStr">
        <is>
          <t xml:space="preserve">  Software</t>
        </is>
      </c>
      <c r="B10" s="7">
        <f>SUMIFS('To Label'!J:J,'To Label'!D:D,"Work",'To Label'!E:E,"Software")</f>
        <v/>
      </c>
    </row>
    <row r="11">
      <c r="A11" t="inlineStr">
        <is>
          <t xml:space="preserve">  Contractors</t>
        </is>
      </c>
      <c r="B11" s="7">
        <f>SUMIFS('To Label'!J:J,'To Label'!D:D,"Work",'To Label'!E:E,"Contractors")</f>
        <v/>
      </c>
    </row>
    <row r="12">
      <c r="A12" t="inlineStr">
        <is>
          <t xml:space="preserve">  Office Supplies</t>
        </is>
      </c>
      <c r="B12" s="7">
        <f>SUMIFS('To Label'!J:J,'To Label'!D:D,"Work",'To Label'!E:E,"Office Supplies")</f>
        <v/>
      </c>
    </row>
    <row r="13">
      <c r="A13" t="inlineStr">
        <is>
          <t xml:space="preserve">  Marketing</t>
        </is>
      </c>
      <c r="B13" s="7">
        <f>SUMIFS('To Label'!J:J,'To Label'!D:D,"Work",'To Label'!E:E,"Marketing")</f>
        <v/>
      </c>
    </row>
    <row r="14">
      <c r="A14" t="inlineStr">
        <is>
          <t xml:space="preserve">  Gas</t>
        </is>
      </c>
      <c r="B14" s="7">
        <f>SUMIFS('To Label'!J:J,'To Label'!D:D,"Work",'To Label'!E:E,"Gas")</f>
        <v/>
      </c>
    </row>
    <row r="15">
      <c r="A15" t="inlineStr">
        <is>
          <t xml:space="preserve">  Rent</t>
        </is>
      </c>
      <c r="B15" s="7">
        <f>SUMIFS('To Label'!J:J,'To Label'!D:D,"Work",'To Label'!E:E,"Rent")</f>
        <v/>
      </c>
    </row>
    <row r="16">
      <c r="A16" t="inlineStr">
        <is>
          <t xml:space="preserve">  MP Fees</t>
        </is>
      </c>
      <c r="B16" s="8">
        <f>SUMIFS('To Label'!I:I,'To Label'!D:D,"Work")</f>
        <v/>
      </c>
    </row>
    <row r="17">
      <c r="A17" s="1" t="inlineStr">
        <is>
          <t>Work Expenses Total</t>
        </is>
      </c>
      <c r="B17" s="13">
        <f>SUM(B10:B16)</f>
        <v/>
      </c>
    </row>
    <row r="19">
      <c r="A19" s="14" t="inlineStr">
        <is>
          <t>WORK NET PROFIT</t>
        </is>
      </c>
      <c r="B19" s="15">
        <f>B7+B17</f>
        <v/>
      </c>
    </row>
    <row r="22">
      <c r="A22" s="3" t="inlineStr">
        <is>
          <t>PERSONAL (Not in P&amp;L)</t>
        </is>
      </c>
    </row>
    <row r="23">
      <c r="A23" s="1" t="inlineStr">
        <is>
          <t>Personal Inflows</t>
        </is>
      </c>
      <c r="B23" s="8">
        <f>SUMIFS('To Label'!J:J,'To Label'!D:D,"Personal",'To Label'!J:J,"&gt;0")</f>
        <v/>
      </c>
    </row>
    <row r="24">
      <c r="A24" s="1" t="inlineStr">
        <is>
          <t>Personal Outflows</t>
        </is>
      </c>
      <c r="B24" s="7">
        <f>SUMIFS('To Label'!J:J,'To Label'!D:D,"Personal",'To Label'!J:J,"&lt;0")</f>
        <v/>
      </c>
    </row>
    <row r="25">
      <c r="A25" s="1" t="inlineStr">
        <is>
          <t>Personal Net</t>
        </is>
      </c>
      <c r="B25" s="16">
        <f>B23+B24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2026-03-17T00:33:10Z</dcterms:created>
  <dcterms:modified xsi:type="dcterms:W3CDTF">2026-03-17T00:33:10Z</dcterms:modified>
</cp:coreProperties>
</file>